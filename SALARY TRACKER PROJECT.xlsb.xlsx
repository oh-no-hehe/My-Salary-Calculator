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ocuments\"/>
    </mc:Choice>
  </mc:AlternateContent>
  <xr:revisionPtr revIDLastSave="0" documentId="13_ncr:1_{F1C73C31-E70F-4004-9CCC-61208A4F87CB}" xr6:coauthVersionLast="47" xr6:coauthVersionMax="47" xr10:uidLastSave="{00000000-0000-0000-0000-000000000000}"/>
  <bookViews>
    <workbookView xWindow="-120" yWindow="-120" windowWidth="29040" windowHeight="15840" xr2:uid="{83029747-80E6-4841-B28A-E32F203441B3}"/>
  </bookViews>
  <sheets>
    <sheet name="Daily Time Record" sheetId="1" r:id="rId1"/>
    <sheet name="Calculator" sheetId="9" r:id="rId2"/>
    <sheet name="Validation" sheetId="5" r:id="rId3"/>
    <sheet name="Calendar" sheetId="8" r:id="rId4"/>
    <sheet name="Calendaryo" sheetId="10" state="hidden" r:id="rId5"/>
    <sheet name="Holidays 2026" sheetId="6" r:id="rId6"/>
  </sheets>
  <definedNames>
    <definedName name="DBR">Calculator!$F$2</definedName>
    <definedName name="HPE">Calculator!$I$2</definedName>
    <definedName name="MBR">Calculator!$C$2</definedName>
    <definedName name="ND">Calculator!$L$2</definedName>
    <definedName name="NDP">Calculator!#REF!</definedName>
    <definedName name="Salary">Calculator!$C$2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6" i="1" l="1" a="1"/>
  <c r="P106" i="1" s="1"/>
  <c r="P107" i="1" a="1"/>
  <c r="P107" i="1" s="1"/>
  <c r="P108" i="1" a="1"/>
  <c r="P108" i="1" s="1"/>
  <c r="P109" i="1" a="1"/>
  <c r="P109" i="1" s="1"/>
  <c r="P110" i="1" a="1"/>
  <c r="P110" i="1" s="1"/>
  <c r="P111" i="1" a="1"/>
  <c r="P111" i="1"/>
  <c r="P112" i="1" a="1"/>
  <c r="P112" i="1" s="1"/>
  <c r="P113" i="1" a="1"/>
  <c r="P113" i="1" s="1"/>
  <c r="P114" i="1" a="1"/>
  <c r="P114" i="1" s="1"/>
  <c r="P115" i="1" a="1"/>
  <c r="P115" i="1" s="1"/>
  <c r="P116" i="1" a="1"/>
  <c r="P116" i="1" s="1"/>
  <c r="P117" i="1" a="1"/>
  <c r="P117" i="1" s="1"/>
  <c r="P118" i="1" a="1"/>
  <c r="P118" i="1" s="1"/>
  <c r="P119" i="1" a="1"/>
  <c r="P119" i="1" s="1"/>
  <c r="P120" i="1" a="1"/>
  <c r="P120" i="1" s="1"/>
  <c r="P121" i="1" a="1"/>
  <c r="P121" i="1" s="1"/>
  <c r="P122" i="1" a="1"/>
  <c r="P122" i="1" s="1"/>
  <c r="P123" i="1" a="1"/>
  <c r="P123" i="1" s="1"/>
  <c r="P124" i="1" a="1"/>
  <c r="P124" i="1" s="1"/>
  <c r="P125" i="1" a="1"/>
  <c r="P125" i="1" s="1"/>
  <c r="P126" i="1" a="1"/>
  <c r="P126" i="1" s="1"/>
  <c r="P127" i="1" a="1"/>
  <c r="P127" i="1" s="1"/>
  <c r="P128" i="1" a="1"/>
  <c r="P128" i="1" s="1"/>
  <c r="P129" i="1" a="1"/>
  <c r="P129" i="1" s="1"/>
  <c r="P130" i="1" a="1"/>
  <c r="P130" i="1" s="1"/>
  <c r="P131" i="1" a="1"/>
  <c r="P131" i="1" s="1"/>
  <c r="P132" i="1" a="1"/>
  <c r="P132" i="1" s="1"/>
  <c r="P133" i="1" a="1"/>
  <c r="P133" i="1" s="1"/>
  <c r="P134" i="1" a="1"/>
  <c r="P134" i="1" s="1"/>
  <c r="P135" i="1" a="1"/>
  <c r="P135" i="1" s="1"/>
  <c r="P136" i="1" a="1"/>
  <c r="P136" i="1" s="1"/>
  <c r="P137" i="1" a="1"/>
  <c r="P137" i="1" s="1"/>
  <c r="P138" i="1" a="1"/>
  <c r="P138" i="1" s="1"/>
  <c r="P139" i="1" a="1"/>
  <c r="P139" i="1" s="1"/>
  <c r="P140" i="1" a="1"/>
  <c r="P140" i="1" s="1"/>
  <c r="P141" i="1" a="1"/>
  <c r="P141" i="1" s="1"/>
  <c r="P142" i="1" a="1"/>
  <c r="P142" i="1" s="1"/>
  <c r="P143" i="1" a="1"/>
  <c r="P143" i="1" s="1"/>
  <c r="P144" i="1" a="1"/>
  <c r="P144" i="1" s="1"/>
  <c r="P145" i="1" a="1"/>
  <c r="P145" i="1" s="1"/>
  <c r="P146" i="1" a="1"/>
  <c r="P146" i="1" s="1"/>
  <c r="P147" i="1" a="1"/>
  <c r="P147" i="1" s="1"/>
  <c r="P148" i="1" a="1"/>
  <c r="P148" i="1" s="1"/>
  <c r="P149" i="1" a="1"/>
  <c r="P149" i="1" s="1"/>
  <c r="P150" i="1" a="1"/>
  <c r="P150" i="1" s="1"/>
  <c r="P151" i="1" a="1"/>
  <c r="P151" i="1" s="1"/>
  <c r="P152" i="1" a="1"/>
  <c r="P152" i="1" s="1"/>
  <c r="P153" i="1" a="1"/>
  <c r="P153" i="1" s="1"/>
  <c r="P154" i="1" a="1"/>
  <c r="P154" i="1" s="1"/>
  <c r="P155" i="1" a="1"/>
  <c r="P155" i="1" s="1"/>
  <c r="P156" i="1" a="1"/>
  <c r="P156" i="1" s="1"/>
  <c r="P157" i="1" a="1"/>
  <c r="P157" i="1" s="1"/>
  <c r="P158" i="1" a="1"/>
  <c r="P158" i="1" s="1"/>
  <c r="P159" i="1" a="1"/>
  <c r="P159" i="1" s="1"/>
  <c r="P160" i="1" a="1"/>
  <c r="P160" i="1" s="1"/>
  <c r="P161" i="1" a="1"/>
  <c r="P161" i="1" s="1"/>
  <c r="P162" i="1" a="1"/>
  <c r="P162" i="1" s="1"/>
  <c r="P163" i="1" a="1"/>
  <c r="P163" i="1" s="1"/>
  <c r="P164" i="1" a="1"/>
  <c r="P164" i="1" s="1"/>
  <c r="P165" i="1" a="1"/>
  <c r="P165" i="1" s="1"/>
  <c r="P166" i="1" a="1"/>
  <c r="P166" i="1" s="1"/>
  <c r="P167" i="1" a="1"/>
  <c r="P167" i="1" s="1"/>
  <c r="P168" i="1" a="1"/>
  <c r="P168" i="1" s="1"/>
  <c r="P169" i="1" a="1"/>
  <c r="P169" i="1" s="1"/>
  <c r="P170" i="1" a="1"/>
  <c r="P170" i="1" s="1"/>
  <c r="P171" i="1" a="1"/>
  <c r="P171" i="1" s="1"/>
  <c r="P172" i="1" a="1"/>
  <c r="P172" i="1" s="1"/>
  <c r="P173" i="1" a="1"/>
  <c r="P173" i="1" s="1"/>
  <c r="P174" i="1" a="1"/>
  <c r="P174" i="1" s="1"/>
  <c r="P175" i="1" a="1"/>
  <c r="P175" i="1" s="1"/>
  <c r="P176" i="1" a="1"/>
  <c r="P176" i="1" s="1"/>
  <c r="P177" i="1" a="1"/>
  <c r="P177" i="1" s="1"/>
  <c r="P178" i="1" a="1"/>
  <c r="P178" i="1" s="1"/>
  <c r="P179" i="1" a="1"/>
  <c r="P179" i="1" s="1"/>
  <c r="P180" i="1" a="1"/>
  <c r="P180" i="1" s="1"/>
  <c r="P181" i="1" a="1"/>
  <c r="P181" i="1" s="1"/>
  <c r="P182" i="1" a="1"/>
  <c r="P182" i="1" s="1"/>
  <c r="P183" i="1" a="1"/>
  <c r="P183" i="1" s="1"/>
  <c r="P184" i="1" a="1"/>
  <c r="P184" i="1" s="1"/>
  <c r="P185" i="1" a="1"/>
  <c r="P185" i="1" s="1"/>
  <c r="P186" i="1" a="1"/>
  <c r="P186" i="1" s="1"/>
  <c r="P187" i="1" a="1"/>
  <c r="P187" i="1" s="1"/>
  <c r="P188" i="1" a="1"/>
  <c r="P188" i="1" s="1"/>
  <c r="P189" i="1" a="1"/>
  <c r="P189" i="1" s="1"/>
  <c r="P190" i="1" a="1"/>
  <c r="P190" i="1" s="1"/>
  <c r="P191" i="1" a="1"/>
  <c r="P191" i="1" s="1"/>
  <c r="P192" i="1" a="1"/>
  <c r="P192" i="1" s="1"/>
  <c r="P193" i="1" a="1"/>
  <c r="P193" i="1" s="1"/>
  <c r="P194" i="1" a="1"/>
  <c r="P194" i="1" s="1"/>
  <c r="P195" i="1" a="1"/>
  <c r="P195" i="1" s="1"/>
  <c r="P196" i="1" a="1"/>
  <c r="P196" i="1" s="1"/>
  <c r="P197" i="1" a="1"/>
  <c r="P197" i="1" s="1"/>
  <c r="P96" i="1" a="1"/>
  <c r="P96" i="1" s="1"/>
  <c r="P97" i="1" a="1"/>
  <c r="P97" i="1" s="1"/>
  <c r="P98" i="1" a="1"/>
  <c r="P98" i="1" s="1"/>
  <c r="P99" i="1" a="1"/>
  <c r="P99" i="1" s="1"/>
  <c r="P100" i="1" a="1"/>
  <c r="P100" i="1" s="1"/>
  <c r="P101" i="1" a="1"/>
  <c r="P101" i="1" s="1"/>
  <c r="P102" i="1" a="1"/>
  <c r="P102" i="1" s="1"/>
  <c r="P103" i="1" a="1"/>
  <c r="P103" i="1" s="1"/>
  <c r="P104" i="1" a="1"/>
  <c r="P104" i="1" s="1"/>
  <c r="P105" i="1" a="1"/>
  <c r="P105" i="1" s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G106" i="1" a="1"/>
  <c r="G106" i="1" s="1"/>
  <c r="G107" i="1" a="1"/>
  <c r="G107" i="1" s="1"/>
  <c r="G108" i="1" a="1"/>
  <c r="G108" i="1" s="1"/>
  <c r="G109" i="1" a="1"/>
  <c r="G109" i="1" s="1"/>
  <c r="G110" i="1" a="1"/>
  <c r="G110" i="1" s="1"/>
  <c r="G111" i="1" a="1"/>
  <c r="G111" i="1" s="1"/>
  <c r="G112" i="1" a="1"/>
  <c r="G112" i="1" s="1"/>
  <c r="G113" i="1" a="1"/>
  <c r="G113" i="1" s="1"/>
  <c r="G114" i="1" a="1"/>
  <c r="G114" i="1" s="1"/>
  <c r="G115" i="1" a="1"/>
  <c r="G115" i="1" s="1"/>
  <c r="G116" i="1" a="1"/>
  <c r="G116" i="1" s="1"/>
  <c r="G117" i="1" a="1"/>
  <c r="G117" i="1" s="1"/>
  <c r="G118" i="1" a="1"/>
  <c r="G118" i="1" s="1"/>
  <c r="G119" i="1" a="1"/>
  <c r="G119" i="1" s="1"/>
  <c r="G120" i="1" a="1"/>
  <c r="G120" i="1" s="1"/>
  <c r="G121" i="1" a="1"/>
  <c r="G121" i="1" s="1"/>
  <c r="G122" i="1" a="1"/>
  <c r="G122" i="1" s="1"/>
  <c r="G123" i="1" a="1"/>
  <c r="G123" i="1" s="1"/>
  <c r="G124" i="1" a="1"/>
  <c r="G124" i="1" s="1"/>
  <c r="G125" i="1" a="1"/>
  <c r="G125" i="1" s="1"/>
  <c r="G126" i="1" a="1"/>
  <c r="G126" i="1" s="1"/>
  <c r="G127" i="1" a="1"/>
  <c r="G127" i="1" s="1"/>
  <c r="G128" i="1" a="1"/>
  <c r="G128" i="1" s="1"/>
  <c r="G129" i="1" a="1"/>
  <c r="G129" i="1" s="1"/>
  <c r="G130" i="1" a="1"/>
  <c r="G130" i="1" s="1"/>
  <c r="G131" i="1" a="1"/>
  <c r="G131" i="1" s="1"/>
  <c r="G132" i="1" a="1"/>
  <c r="G132" i="1" s="1"/>
  <c r="G133" i="1" a="1"/>
  <c r="G133" i="1" s="1"/>
  <c r="G134" i="1" a="1"/>
  <c r="G134" i="1" s="1"/>
  <c r="G135" i="1" a="1"/>
  <c r="G135" i="1" s="1"/>
  <c r="G136" i="1" a="1"/>
  <c r="G136" i="1" s="1"/>
  <c r="G137" i="1" a="1"/>
  <c r="G137" i="1" s="1"/>
  <c r="G138" i="1" a="1"/>
  <c r="G138" i="1" s="1"/>
  <c r="G139" i="1" a="1"/>
  <c r="G139" i="1" s="1"/>
  <c r="G140" i="1" a="1"/>
  <c r="G140" i="1" s="1"/>
  <c r="G141" i="1" a="1"/>
  <c r="G141" i="1" s="1"/>
  <c r="G142" i="1" a="1"/>
  <c r="G142" i="1" s="1"/>
  <c r="G143" i="1" a="1"/>
  <c r="G143" i="1" s="1"/>
  <c r="G144" i="1" a="1"/>
  <c r="G144" i="1" s="1"/>
  <c r="G145" i="1" a="1"/>
  <c r="G145" i="1" s="1"/>
  <c r="G146" i="1" a="1"/>
  <c r="G146" i="1" s="1"/>
  <c r="G147" i="1" a="1"/>
  <c r="G147" i="1" s="1"/>
  <c r="G148" i="1" a="1"/>
  <c r="G148" i="1" s="1"/>
  <c r="G149" i="1" a="1"/>
  <c r="G149" i="1" s="1"/>
  <c r="G150" i="1" a="1"/>
  <c r="G150" i="1" s="1"/>
  <c r="G151" i="1" a="1"/>
  <c r="G151" i="1" s="1"/>
  <c r="G152" i="1" a="1"/>
  <c r="G152" i="1" s="1"/>
  <c r="G153" i="1" a="1"/>
  <c r="G153" i="1" s="1"/>
  <c r="G154" i="1" a="1"/>
  <c r="G154" i="1" s="1"/>
  <c r="G155" i="1" a="1"/>
  <c r="G155" i="1" s="1"/>
  <c r="G156" i="1" a="1"/>
  <c r="G156" i="1" s="1"/>
  <c r="G157" i="1" a="1"/>
  <c r="G157" i="1" s="1"/>
  <c r="G158" i="1" a="1"/>
  <c r="G158" i="1" s="1"/>
  <c r="G159" i="1" a="1"/>
  <c r="G159" i="1" s="1"/>
  <c r="O159" i="1" s="1"/>
  <c r="G160" i="1" a="1"/>
  <c r="G160" i="1" s="1"/>
  <c r="O160" i="1" s="1"/>
  <c r="G161" i="1" a="1"/>
  <c r="G161" i="1" s="1"/>
  <c r="O161" i="1" s="1"/>
  <c r="G162" i="1" a="1"/>
  <c r="G162" i="1" s="1"/>
  <c r="O162" i="1" s="1"/>
  <c r="G163" i="1" a="1"/>
  <c r="G163" i="1" s="1"/>
  <c r="O163" i="1" s="1"/>
  <c r="G164" i="1" a="1"/>
  <c r="G164" i="1" s="1"/>
  <c r="O164" i="1" s="1"/>
  <c r="G165" i="1" a="1"/>
  <c r="G165" i="1" s="1"/>
  <c r="O165" i="1" s="1"/>
  <c r="G166" i="1" a="1"/>
  <c r="G166" i="1" s="1"/>
  <c r="G167" i="1" a="1"/>
  <c r="G167" i="1" s="1"/>
  <c r="G168" i="1" a="1"/>
  <c r="G168" i="1" s="1"/>
  <c r="G169" i="1" a="1"/>
  <c r="G169" i="1" s="1"/>
  <c r="G170" i="1" a="1"/>
  <c r="G170" i="1" s="1"/>
  <c r="G171" i="1" a="1"/>
  <c r="G171" i="1" s="1"/>
  <c r="G172" i="1" a="1"/>
  <c r="G172" i="1" s="1"/>
  <c r="G173" i="1" a="1"/>
  <c r="G173" i="1" s="1"/>
  <c r="G174" i="1" a="1"/>
  <c r="G174" i="1" s="1"/>
  <c r="G175" i="1" a="1"/>
  <c r="G175" i="1" s="1"/>
  <c r="G176" i="1" a="1"/>
  <c r="G176" i="1" s="1"/>
  <c r="G177" i="1" a="1"/>
  <c r="G177" i="1" s="1"/>
  <c r="G178" i="1" a="1"/>
  <c r="G178" i="1" s="1"/>
  <c r="G179" i="1" a="1"/>
  <c r="G179" i="1" s="1"/>
  <c r="G180" i="1" a="1"/>
  <c r="G180" i="1" s="1"/>
  <c r="G181" i="1" a="1"/>
  <c r="G181" i="1" s="1"/>
  <c r="G182" i="1" a="1"/>
  <c r="G182" i="1" s="1"/>
  <c r="G183" i="1" a="1"/>
  <c r="G183" i="1" s="1"/>
  <c r="G184" i="1" a="1"/>
  <c r="G184" i="1" s="1"/>
  <c r="G185" i="1" a="1"/>
  <c r="G185" i="1" s="1"/>
  <c r="G186" i="1" a="1"/>
  <c r="G186" i="1" s="1"/>
  <c r="G187" i="1" a="1"/>
  <c r="G187" i="1" s="1"/>
  <c r="G188" i="1" a="1"/>
  <c r="G188" i="1" s="1"/>
  <c r="G189" i="1" a="1"/>
  <c r="G189" i="1" s="1"/>
  <c r="G190" i="1" a="1"/>
  <c r="G190" i="1" s="1"/>
  <c r="G191" i="1" a="1"/>
  <c r="G191" i="1" s="1"/>
  <c r="G192" i="1" a="1"/>
  <c r="G192" i="1" s="1"/>
  <c r="G193" i="1" a="1"/>
  <c r="G193" i="1" s="1"/>
  <c r="G194" i="1" a="1"/>
  <c r="G194" i="1" s="1"/>
  <c r="G195" i="1" a="1"/>
  <c r="G195" i="1" s="1"/>
  <c r="G196" i="1" a="1"/>
  <c r="G196" i="1" s="1"/>
  <c r="G197" i="1" a="1"/>
  <c r="G197" i="1" s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D106" i="1"/>
  <c r="M106" i="1" s="1" a="1"/>
  <c r="M106" i="1" s="1"/>
  <c r="D107" i="1"/>
  <c r="D108" i="1"/>
  <c r="M108" i="1" s="1" a="1"/>
  <c r="M108" i="1" s="1"/>
  <c r="D109" i="1"/>
  <c r="M109" i="1" s="1" a="1"/>
  <c r="M109" i="1" s="1"/>
  <c r="D110" i="1"/>
  <c r="D111" i="1"/>
  <c r="D112" i="1"/>
  <c r="M112" i="1" s="1" a="1"/>
  <c r="M112" i="1" s="1"/>
  <c r="D113" i="1"/>
  <c r="M113" i="1" s="1" a="1"/>
  <c r="M113" i="1" s="1"/>
  <c r="D114" i="1"/>
  <c r="M114" i="1" s="1" a="1"/>
  <c r="M114" i="1" s="1"/>
  <c r="D115" i="1"/>
  <c r="D116" i="1"/>
  <c r="M116" i="1" s="1" a="1"/>
  <c r="M116" i="1" s="1"/>
  <c r="D117" i="1"/>
  <c r="M117" i="1" s="1" a="1"/>
  <c r="M117" i="1" s="1"/>
  <c r="D118" i="1"/>
  <c r="D119" i="1"/>
  <c r="D120" i="1"/>
  <c r="M120" i="1" s="1" a="1"/>
  <c r="M120" i="1" s="1"/>
  <c r="D121" i="1"/>
  <c r="M121" i="1" s="1" a="1"/>
  <c r="M121" i="1" s="1"/>
  <c r="D122" i="1"/>
  <c r="M122" i="1" s="1" a="1"/>
  <c r="M122" i="1" s="1"/>
  <c r="D123" i="1"/>
  <c r="D124" i="1"/>
  <c r="M124" i="1" s="1" a="1"/>
  <c r="M124" i="1" s="1"/>
  <c r="D125" i="1"/>
  <c r="M125" i="1" s="1" a="1"/>
  <c r="M125" i="1" s="1"/>
  <c r="D126" i="1"/>
  <c r="D127" i="1"/>
  <c r="D128" i="1"/>
  <c r="M128" i="1" s="1" a="1"/>
  <c r="M128" i="1" s="1"/>
  <c r="D129" i="1"/>
  <c r="M129" i="1" s="1" a="1"/>
  <c r="M129" i="1" s="1"/>
  <c r="D130" i="1"/>
  <c r="M130" i="1" s="1" a="1"/>
  <c r="M130" i="1" s="1"/>
  <c r="D131" i="1"/>
  <c r="D132" i="1"/>
  <c r="M132" i="1" s="1" a="1"/>
  <c r="M132" i="1" s="1"/>
  <c r="D133" i="1"/>
  <c r="M133" i="1" s="1" a="1"/>
  <c r="M133" i="1" s="1"/>
  <c r="D134" i="1"/>
  <c r="D135" i="1"/>
  <c r="D136" i="1"/>
  <c r="M136" i="1" s="1" a="1"/>
  <c r="M136" i="1" s="1"/>
  <c r="D137" i="1"/>
  <c r="M137" i="1" s="1" a="1"/>
  <c r="M137" i="1" s="1"/>
  <c r="D138" i="1"/>
  <c r="M138" i="1" s="1" a="1"/>
  <c r="M138" i="1" s="1"/>
  <c r="D139" i="1"/>
  <c r="D140" i="1"/>
  <c r="M140" i="1" s="1" a="1"/>
  <c r="M140" i="1" s="1"/>
  <c r="D141" i="1"/>
  <c r="M141" i="1" s="1" a="1"/>
  <c r="M141" i="1" s="1"/>
  <c r="D142" i="1"/>
  <c r="D143" i="1"/>
  <c r="D144" i="1"/>
  <c r="M144" i="1" s="1" a="1"/>
  <c r="M144" i="1" s="1"/>
  <c r="D145" i="1"/>
  <c r="M145" i="1" s="1" a="1"/>
  <c r="M145" i="1" s="1"/>
  <c r="D146" i="1"/>
  <c r="M146" i="1" s="1" a="1"/>
  <c r="M146" i="1" s="1"/>
  <c r="D147" i="1"/>
  <c r="D148" i="1"/>
  <c r="M148" i="1" s="1" a="1"/>
  <c r="M148" i="1" s="1"/>
  <c r="D149" i="1"/>
  <c r="M149" i="1" s="1" a="1"/>
  <c r="M149" i="1" s="1"/>
  <c r="D150" i="1"/>
  <c r="D151" i="1"/>
  <c r="D152" i="1"/>
  <c r="M152" i="1" s="1" a="1"/>
  <c r="M152" i="1" s="1"/>
  <c r="D153" i="1"/>
  <c r="M153" i="1" s="1" a="1"/>
  <c r="M153" i="1" s="1"/>
  <c r="D154" i="1"/>
  <c r="M154" i="1" s="1" a="1"/>
  <c r="M154" i="1" s="1"/>
  <c r="D155" i="1"/>
  <c r="D156" i="1"/>
  <c r="M156" i="1" s="1" a="1"/>
  <c r="M156" i="1" s="1"/>
  <c r="D157" i="1"/>
  <c r="M157" i="1" s="1" a="1"/>
  <c r="M157" i="1" s="1"/>
  <c r="D158" i="1"/>
  <c r="D159" i="1"/>
  <c r="D160" i="1"/>
  <c r="M160" i="1" s="1" a="1"/>
  <c r="M160" i="1" s="1"/>
  <c r="D161" i="1"/>
  <c r="M161" i="1" s="1" a="1"/>
  <c r="M161" i="1" s="1"/>
  <c r="D162" i="1"/>
  <c r="M162" i="1" s="1" a="1"/>
  <c r="M162" i="1" s="1"/>
  <c r="D163" i="1"/>
  <c r="D164" i="1"/>
  <c r="M164" i="1" s="1" a="1"/>
  <c r="M164" i="1" s="1"/>
  <c r="D165" i="1"/>
  <c r="M165" i="1" s="1" a="1"/>
  <c r="M165" i="1" s="1"/>
  <c r="D166" i="1"/>
  <c r="D167" i="1"/>
  <c r="D168" i="1"/>
  <c r="M168" i="1" s="1" a="1"/>
  <c r="M168" i="1" s="1"/>
  <c r="D169" i="1"/>
  <c r="M169" i="1" s="1" a="1"/>
  <c r="M169" i="1" s="1"/>
  <c r="D170" i="1"/>
  <c r="M170" i="1" s="1" a="1"/>
  <c r="M170" i="1" s="1"/>
  <c r="D171" i="1"/>
  <c r="D172" i="1"/>
  <c r="M172" i="1" s="1" a="1"/>
  <c r="M172" i="1" s="1"/>
  <c r="D173" i="1"/>
  <c r="M173" i="1" s="1" a="1"/>
  <c r="M173" i="1" s="1"/>
  <c r="D174" i="1"/>
  <c r="D175" i="1"/>
  <c r="D176" i="1"/>
  <c r="M176" i="1" s="1" a="1"/>
  <c r="M176" i="1" s="1"/>
  <c r="D177" i="1"/>
  <c r="M177" i="1" s="1" a="1"/>
  <c r="M177" i="1" s="1"/>
  <c r="D178" i="1"/>
  <c r="M178" i="1" s="1" a="1"/>
  <c r="M178" i="1" s="1"/>
  <c r="D179" i="1"/>
  <c r="D180" i="1"/>
  <c r="M180" i="1" s="1" a="1"/>
  <c r="M180" i="1" s="1"/>
  <c r="D181" i="1"/>
  <c r="M181" i="1" s="1" a="1"/>
  <c r="M181" i="1" s="1"/>
  <c r="D182" i="1"/>
  <c r="D183" i="1"/>
  <c r="D184" i="1"/>
  <c r="M184" i="1" s="1" a="1"/>
  <c r="M184" i="1" s="1"/>
  <c r="D185" i="1"/>
  <c r="M185" i="1" s="1" a="1"/>
  <c r="M185" i="1" s="1"/>
  <c r="D186" i="1"/>
  <c r="M186" i="1" s="1" a="1"/>
  <c r="M186" i="1" s="1"/>
  <c r="D187" i="1"/>
  <c r="D188" i="1"/>
  <c r="M188" i="1" s="1" a="1"/>
  <c r="M188" i="1" s="1"/>
  <c r="D189" i="1"/>
  <c r="M189" i="1" s="1" a="1"/>
  <c r="M189" i="1" s="1"/>
  <c r="D190" i="1"/>
  <c r="D191" i="1"/>
  <c r="D192" i="1"/>
  <c r="M192" i="1" s="1" a="1"/>
  <c r="M192" i="1" s="1"/>
  <c r="D193" i="1"/>
  <c r="M193" i="1" s="1" a="1"/>
  <c r="M193" i="1" s="1"/>
  <c r="D194" i="1"/>
  <c r="M194" i="1" s="1" a="1"/>
  <c r="M194" i="1" s="1"/>
  <c r="D195" i="1"/>
  <c r="D196" i="1"/>
  <c r="M196" i="1" s="1" a="1"/>
  <c r="M196" i="1" s="1"/>
  <c r="D197" i="1"/>
  <c r="M197" i="1" s="1" a="1"/>
  <c r="M197" i="1" s="1"/>
  <c r="G75" i="1" a="1"/>
  <c r="G75" i="1" s="1"/>
  <c r="G76" i="1" a="1"/>
  <c r="G76" i="1" s="1"/>
  <c r="G77" i="1" a="1"/>
  <c r="G77" i="1" s="1"/>
  <c r="G78" i="1" a="1"/>
  <c r="G78" i="1" s="1"/>
  <c r="G79" i="1" a="1"/>
  <c r="G79" i="1" s="1"/>
  <c r="G80" i="1" a="1"/>
  <c r="G80" i="1" s="1"/>
  <c r="G81" i="1" a="1"/>
  <c r="G81" i="1" s="1"/>
  <c r="G82" i="1" a="1"/>
  <c r="G82" i="1" s="1"/>
  <c r="G83" i="1" a="1"/>
  <c r="G83" i="1" s="1"/>
  <c r="G84" i="1" a="1"/>
  <c r="G84" i="1" s="1"/>
  <c r="G85" i="1" a="1"/>
  <c r="G85" i="1" s="1"/>
  <c r="G86" i="1" a="1"/>
  <c r="G86" i="1" s="1"/>
  <c r="G87" i="1" a="1"/>
  <c r="G87" i="1" s="1"/>
  <c r="G88" i="1" a="1"/>
  <c r="G88" i="1" s="1"/>
  <c r="G89" i="1" a="1"/>
  <c r="G89" i="1" s="1"/>
  <c r="G90" i="1" a="1"/>
  <c r="G90" i="1" s="1"/>
  <c r="G91" i="1" a="1"/>
  <c r="G91" i="1" s="1"/>
  <c r="G92" i="1" a="1"/>
  <c r="G92" i="1" s="1"/>
  <c r="G93" i="1" a="1"/>
  <c r="G93" i="1" s="1"/>
  <c r="G94" i="1" a="1"/>
  <c r="G94" i="1" s="1"/>
  <c r="G95" i="1" a="1"/>
  <c r="G95" i="1" s="1"/>
  <c r="G96" i="1" a="1"/>
  <c r="G96" i="1" s="1"/>
  <c r="G97" i="1" a="1"/>
  <c r="G97" i="1" s="1"/>
  <c r="G98" i="1" a="1"/>
  <c r="G98" i="1" s="1"/>
  <c r="G99" i="1" a="1"/>
  <c r="G99" i="1" s="1"/>
  <c r="G100" i="1" a="1"/>
  <c r="G100" i="1" s="1"/>
  <c r="G101" i="1" a="1"/>
  <c r="G101" i="1" s="1"/>
  <c r="G102" i="1" a="1"/>
  <c r="G102" i="1" s="1"/>
  <c r="G103" i="1" a="1"/>
  <c r="G103" i="1" s="1"/>
  <c r="G104" i="1" a="1"/>
  <c r="G104" i="1" s="1"/>
  <c r="G105" i="1" a="1"/>
  <c r="G105" i="1" s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P75" i="1" a="1"/>
  <c r="P75" i="1" s="1"/>
  <c r="P76" i="1" a="1"/>
  <c r="P76" i="1" s="1"/>
  <c r="P77" i="1" a="1"/>
  <c r="P77" i="1" s="1"/>
  <c r="P78" i="1" a="1"/>
  <c r="P78" i="1" s="1"/>
  <c r="P79" i="1" a="1"/>
  <c r="P79" i="1" s="1"/>
  <c r="P80" i="1" a="1"/>
  <c r="P80" i="1" s="1"/>
  <c r="P81" i="1" a="1"/>
  <c r="P81" i="1" s="1"/>
  <c r="P82" i="1" a="1"/>
  <c r="P82" i="1" s="1"/>
  <c r="P83" i="1" a="1"/>
  <c r="P83" i="1" s="1"/>
  <c r="P84" i="1" a="1"/>
  <c r="P84" i="1" s="1"/>
  <c r="P85" i="1" a="1"/>
  <c r="P85" i="1" s="1"/>
  <c r="P86" i="1" a="1"/>
  <c r="P86" i="1" s="1"/>
  <c r="P87" i="1" a="1"/>
  <c r="P87" i="1" s="1"/>
  <c r="P88" i="1" a="1"/>
  <c r="P88" i="1" s="1"/>
  <c r="P89" i="1" a="1"/>
  <c r="P89" i="1" s="1"/>
  <c r="P90" i="1" a="1"/>
  <c r="P90" i="1" s="1"/>
  <c r="P91" i="1" a="1"/>
  <c r="P91" i="1" s="1"/>
  <c r="P92" i="1" a="1"/>
  <c r="P92" i="1" s="1"/>
  <c r="P93" i="1" a="1"/>
  <c r="P93" i="1" s="1"/>
  <c r="P94" i="1" a="1"/>
  <c r="P94" i="1" s="1"/>
  <c r="P95" i="1" a="1"/>
  <c r="P95" i="1" s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D75" i="1"/>
  <c r="D76" i="1"/>
  <c r="D77" i="1"/>
  <c r="D78" i="1"/>
  <c r="D79" i="1"/>
  <c r="D80" i="1"/>
  <c r="M80" i="1" s="1" a="1"/>
  <c r="M80" i="1" s="1"/>
  <c r="D81" i="1"/>
  <c r="D82" i="1"/>
  <c r="D83" i="1"/>
  <c r="D84" i="1"/>
  <c r="D85" i="1"/>
  <c r="D86" i="1"/>
  <c r="D87" i="1"/>
  <c r="D88" i="1"/>
  <c r="M88" i="1" s="1" a="1"/>
  <c r="M88" i="1" s="1"/>
  <c r="D89" i="1"/>
  <c r="D90" i="1"/>
  <c r="D91" i="1"/>
  <c r="D92" i="1"/>
  <c r="D93" i="1"/>
  <c r="D94" i="1"/>
  <c r="D95" i="1"/>
  <c r="D96" i="1"/>
  <c r="M96" i="1" s="1" a="1"/>
  <c r="M96" i="1" s="1"/>
  <c r="D97" i="1"/>
  <c r="D98" i="1"/>
  <c r="D99" i="1"/>
  <c r="D100" i="1"/>
  <c r="D101" i="1"/>
  <c r="D102" i="1"/>
  <c r="D103" i="1"/>
  <c r="D104" i="1"/>
  <c r="M104" i="1" s="1" a="1"/>
  <c r="M104" i="1" s="1"/>
  <c r="D105" i="1"/>
  <c r="P5" i="1" a="1"/>
  <c r="P5" i="1" s="1"/>
  <c r="Q2" i="1" a="1"/>
  <c r="Q2" i="1" s="1"/>
  <c r="G2" i="1" a="1"/>
  <c r="G2" i="1" s="1"/>
  <c r="P6" i="1" a="1"/>
  <c r="P6" i="1" s="1"/>
  <c r="P7" i="1" a="1"/>
  <c r="P7" i="1" s="1"/>
  <c r="P8" i="1" a="1"/>
  <c r="P8" i="1" s="1"/>
  <c r="P9" i="1" a="1"/>
  <c r="P9" i="1" s="1"/>
  <c r="P10" i="1" a="1"/>
  <c r="P10" i="1" s="1"/>
  <c r="P11" i="1" a="1"/>
  <c r="P11" i="1" s="1"/>
  <c r="P12" i="1" a="1"/>
  <c r="P12" i="1" s="1"/>
  <c r="P13" i="1" a="1"/>
  <c r="P13" i="1" s="1"/>
  <c r="P14" i="1" a="1"/>
  <c r="P14" i="1" s="1"/>
  <c r="P15" i="1" a="1"/>
  <c r="P15" i="1" s="1"/>
  <c r="P16" i="1" a="1"/>
  <c r="P16" i="1" s="1"/>
  <c r="P17" i="1" a="1"/>
  <c r="P17" i="1" s="1"/>
  <c r="P18" i="1" a="1"/>
  <c r="P18" i="1" s="1"/>
  <c r="P19" i="1" a="1"/>
  <c r="P19" i="1" s="1"/>
  <c r="P20" i="1" a="1"/>
  <c r="P20" i="1" s="1"/>
  <c r="P21" i="1" a="1"/>
  <c r="P21" i="1" s="1"/>
  <c r="P22" i="1" a="1"/>
  <c r="P22" i="1" s="1"/>
  <c r="P23" i="1" a="1"/>
  <c r="P23" i="1" s="1"/>
  <c r="P24" i="1" a="1"/>
  <c r="P24" i="1" s="1"/>
  <c r="P25" i="1" a="1"/>
  <c r="P25" i="1" s="1"/>
  <c r="P26" i="1" a="1"/>
  <c r="P26" i="1" s="1"/>
  <c r="P27" i="1" a="1"/>
  <c r="P27" i="1" s="1"/>
  <c r="P28" i="1" a="1"/>
  <c r="P28" i="1" s="1"/>
  <c r="P29" i="1" a="1"/>
  <c r="P29" i="1" s="1"/>
  <c r="P30" i="1" a="1"/>
  <c r="P30" i="1" s="1"/>
  <c r="P31" i="1" a="1"/>
  <c r="P31" i="1" s="1"/>
  <c r="P32" i="1" a="1"/>
  <c r="P32" i="1" s="1"/>
  <c r="P33" i="1" a="1"/>
  <c r="P33" i="1" s="1"/>
  <c r="P34" i="1" a="1"/>
  <c r="P34" i="1" s="1"/>
  <c r="P35" i="1" a="1"/>
  <c r="P35" i="1" s="1"/>
  <c r="P36" i="1" a="1"/>
  <c r="P36" i="1" s="1"/>
  <c r="P37" i="1" a="1"/>
  <c r="P37" i="1" s="1"/>
  <c r="P38" i="1" a="1"/>
  <c r="P38" i="1" s="1"/>
  <c r="P39" i="1" a="1"/>
  <c r="P39" i="1" s="1"/>
  <c r="P40" i="1" a="1"/>
  <c r="P40" i="1" s="1"/>
  <c r="P41" i="1" a="1"/>
  <c r="P41" i="1" s="1"/>
  <c r="P42" i="1" a="1"/>
  <c r="P42" i="1" s="1"/>
  <c r="P43" i="1" a="1"/>
  <c r="P43" i="1" s="1"/>
  <c r="P44" i="1" a="1"/>
  <c r="P44" i="1" s="1"/>
  <c r="P45" i="1" a="1"/>
  <c r="P45" i="1" s="1"/>
  <c r="P46" i="1" a="1"/>
  <c r="P46" i="1" s="1"/>
  <c r="P47" i="1" a="1"/>
  <c r="P47" i="1" s="1"/>
  <c r="P48" i="1" a="1"/>
  <c r="P48" i="1" s="1"/>
  <c r="P49" i="1" a="1"/>
  <c r="P49" i="1" s="1"/>
  <c r="P50" i="1" a="1"/>
  <c r="P50" i="1" s="1"/>
  <c r="P51" i="1" a="1"/>
  <c r="P51" i="1" s="1"/>
  <c r="P52" i="1" a="1"/>
  <c r="P52" i="1" s="1"/>
  <c r="P53" i="1" a="1"/>
  <c r="P53" i="1" s="1"/>
  <c r="P54" i="1" a="1"/>
  <c r="P54" i="1" s="1"/>
  <c r="P55" i="1" a="1"/>
  <c r="P55" i="1" s="1"/>
  <c r="P56" i="1" a="1"/>
  <c r="P56" i="1" s="1"/>
  <c r="P57" i="1" a="1"/>
  <c r="P57" i="1" s="1"/>
  <c r="P58" i="1" a="1"/>
  <c r="P58" i="1" s="1"/>
  <c r="P59" i="1" a="1"/>
  <c r="P59" i="1" s="1"/>
  <c r="P60" i="1" a="1"/>
  <c r="P60" i="1" s="1"/>
  <c r="P61" i="1" a="1"/>
  <c r="P61" i="1" s="1"/>
  <c r="P62" i="1" a="1"/>
  <c r="P62" i="1" s="1"/>
  <c r="P63" i="1" a="1"/>
  <c r="P63" i="1" s="1"/>
  <c r="P64" i="1" a="1"/>
  <c r="P64" i="1" s="1"/>
  <c r="P65" i="1" a="1"/>
  <c r="P65" i="1" s="1"/>
  <c r="P66" i="1" a="1"/>
  <c r="P66" i="1" s="1"/>
  <c r="P67" i="1" a="1"/>
  <c r="P67" i="1" s="1"/>
  <c r="P68" i="1" a="1"/>
  <c r="P68" i="1" s="1"/>
  <c r="P69" i="1" a="1"/>
  <c r="P69" i="1" s="1"/>
  <c r="P70" i="1" a="1"/>
  <c r="P70" i="1" s="1"/>
  <c r="P71" i="1" a="1"/>
  <c r="P71" i="1" s="1"/>
  <c r="P72" i="1" a="1"/>
  <c r="P72" i="1" s="1"/>
  <c r="P73" i="1" a="1"/>
  <c r="P73" i="1" s="1"/>
  <c r="P74" i="1" a="1"/>
  <c r="P74" i="1" s="1"/>
  <c r="P3" i="1" a="1"/>
  <c r="P3" i="1" s="1"/>
  <c r="P4" i="1" a="1"/>
  <c r="P4" i="1" s="1"/>
  <c r="G3" i="1" a="1"/>
  <c r="G3" i="1" s="1"/>
  <c r="G4" i="1" a="1"/>
  <c r="G4" i="1" s="1"/>
  <c r="G5" i="1" a="1"/>
  <c r="G5" i="1" s="1"/>
  <c r="G6" i="1" a="1"/>
  <c r="G6" i="1" s="1"/>
  <c r="G7" i="1" a="1"/>
  <c r="G7" i="1" s="1"/>
  <c r="G8" i="1" a="1"/>
  <c r="G8" i="1" s="1"/>
  <c r="G9" i="1" a="1"/>
  <c r="G9" i="1" s="1"/>
  <c r="G10" i="1" a="1"/>
  <c r="G10" i="1" s="1"/>
  <c r="G11" i="1" a="1"/>
  <c r="G11" i="1" s="1"/>
  <c r="G12" i="1" a="1"/>
  <c r="G12" i="1" s="1"/>
  <c r="G13" i="1" a="1"/>
  <c r="G13" i="1" s="1"/>
  <c r="G14" i="1" a="1"/>
  <c r="G14" i="1" s="1"/>
  <c r="G15" i="1" a="1"/>
  <c r="G15" i="1" s="1"/>
  <c r="G16" i="1" a="1"/>
  <c r="G16" i="1" s="1"/>
  <c r="G17" i="1" a="1"/>
  <c r="G17" i="1" s="1"/>
  <c r="G18" i="1" a="1"/>
  <c r="G18" i="1" s="1"/>
  <c r="G19" i="1" a="1"/>
  <c r="G19" i="1" s="1"/>
  <c r="G20" i="1" a="1"/>
  <c r="G20" i="1" s="1"/>
  <c r="G21" i="1" a="1"/>
  <c r="G21" i="1" s="1"/>
  <c r="G22" i="1" a="1"/>
  <c r="G22" i="1" s="1"/>
  <c r="G23" i="1" a="1"/>
  <c r="G23" i="1" s="1"/>
  <c r="G24" i="1" a="1"/>
  <c r="G24" i="1" s="1"/>
  <c r="G25" i="1" a="1"/>
  <c r="G25" i="1" s="1"/>
  <c r="G26" i="1" a="1"/>
  <c r="G26" i="1" s="1"/>
  <c r="G27" i="1" a="1"/>
  <c r="G27" i="1" s="1"/>
  <c r="G28" i="1" a="1"/>
  <c r="G28" i="1" s="1"/>
  <c r="G29" i="1" a="1"/>
  <c r="G29" i="1" s="1"/>
  <c r="G30" i="1" a="1"/>
  <c r="G30" i="1" s="1"/>
  <c r="G31" i="1" a="1"/>
  <c r="G31" i="1" s="1"/>
  <c r="G32" i="1" a="1"/>
  <c r="G32" i="1" s="1"/>
  <c r="G33" i="1" a="1"/>
  <c r="G33" i="1" s="1"/>
  <c r="G34" i="1" a="1"/>
  <c r="G34" i="1" s="1"/>
  <c r="G35" i="1" a="1"/>
  <c r="G35" i="1" s="1"/>
  <c r="G36" i="1" a="1"/>
  <c r="G36" i="1" s="1"/>
  <c r="G37" i="1" a="1"/>
  <c r="G37" i="1" s="1"/>
  <c r="G38" i="1" a="1"/>
  <c r="G38" i="1" s="1"/>
  <c r="G39" i="1" a="1"/>
  <c r="G39" i="1" s="1"/>
  <c r="G40" i="1" a="1"/>
  <c r="G40" i="1" s="1"/>
  <c r="G41" i="1" a="1"/>
  <c r="G41" i="1" s="1"/>
  <c r="G42" i="1" a="1"/>
  <c r="G42" i="1" s="1"/>
  <c r="G43" i="1" a="1"/>
  <c r="G43" i="1" s="1"/>
  <c r="G44" i="1" a="1"/>
  <c r="G44" i="1" s="1"/>
  <c r="G45" i="1" a="1"/>
  <c r="G45" i="1" s="1"/>
  <c r="G46" i="1" a="1"/>
  <c r="G46" i="1" s="1"/>
  <c r="G47" i="1" a="1"/>
  <c r="G47" i="1" s="1"/>
  <c r="G48" i="1" a="1"/>
  <c r="G48" i="1" s="1"/>
  <c r="G49" i="1" a="1"/>
  <c r="G49" i="1" s="1"/>
  <c r="G50" i="1" a="1"/>
  <c r="G50" i="1" s="1"/>
  <c r="G51" i="1" a="1"/>
  <c r="G51" i="1" s="1"/>
  <c r="G52" i="1" a="1"/>
  <c r="G52" i="1" s="1"/>
  <c r="G53" i="1" a="1"/>
  <c r="G53" i="1" s="1"/>
  <c r="G54" i="1" a="1"/>
  <c r="G54" i="1" s="1"/>
  <c r="G55" i="1" a="1"/>
  <c r="G55" i="1" s="1"/>
  <c r="G56" i="1" a="1"/>
  <c r="G56" i="1" s="1"/>
  <c r="G57" i="1" a="1"/>
  <c r="G57" i="1" s="1"/>
  <c r="G58" i="1" a="1"/>
  <c r="G58" i="1" s="1"/>
  <c r="G59" i="1" a="1"/>
  <c r="G59" i="1" s="1"/>
  <c r="G60" i="1" a="1"/>
  <c r="G60" i="1" s="1"/>
  <c r="G61" i="1" a="1"/>
  <c r="G61" i="1" s="1"/>
  <c r="G62" i="1" a="1"/>
  <c r="G62" i="1" s="1"/>
  <c r="G63" i="1" a="1"/>
  <c r="G63" i="1" s="1"/>
  <c r="G64" i="1" a="1"/>
  <c r="G64" i="1" s="1"/>
  <c r="G65" i="1" a="1"/>
  <c r="G65" i="1" s="1"/>
  <c r="G66" i="1" a="1"/>
  <c r="G66" i="1" s="1"/>
  <c r="G67" i="1" a="1"/>
  <c r="G67" i="1" s="1"/>
  <c r="G68" i="1" a="1"/>
  <c r="G68" i="1" s="1"/>
  <c r="G69" i="1" a="1"/>
  <c r="G69" i="1" s="1"/>
  <c r="G70" i="1" a="1"/>
  <c r="G70" i="1" s="1"/>
  <c r="G71" i="1" a="1"/>
  <c r="G71" i="1" s="1"/>
  <c r="G72" i="1" a="1"/>
  <c r="G72" i="1" s="1"/>
  <c r="G73" i="1" a="1"/>
  <c r="G73" i="1" s="1"/>
  <c r="G74" i="1" a="1"/>
  <c r="G74" i="1" s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2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13" i="1"/>
  <c r="F13" i="1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" i="6"/>
  <c r="D2" i="1"/>
  <c r="F2" i="1"/>
  <c r="F3" i="1"/>
  <c r="F4" i="1"/>
  <c r="F5" i="1"/>
  <c r="F6" i="1"/>
  <c r="F7" i="1"/>
  <c r="F8" i="1"/>
  <c r="F9" i="1"/>
  <c r="F10" i="1"/>
  <c r="F11" i="1"/>
  <c r="F12" i="1"/>
  <c r="D3" i="1"/>
  <c r="D4" i="1"/>
  <c r="D5" i="1"/>
  <c r="D6" i="1"/>
  <c r="D7" i="1"/>
  <c r="D8" i="1"/>
  <c r="D9" i="1"/>
  <c r="D10" i="1"/>
  <c r="D11" i="1"/>
  <c r="D12" i="1"/>
  <c r="F2" i="9"/>
  <c r="I2" i="9" s="1"/>
  <c r="B27" i="6"/>
  <c r="B26" i="6"/>
  <c r="B25" i="6"/>
  <c r="B24" i="6"/>
  <c r="B23" i="6"/>
  <c r="B22" i="6"/>
  <c r="B21" i="6"/>
  <c r="B20" i="6"/>
  <c r="B19" i="6"/>
  <c r="B18" i="6"/>
  <c r="B17" i="6"/>
  <c r="B16" i="6"/>
  <c r="B15" i="6"/>
  <c r="B14" i="6"/>
  <c r="B13" i="6"/>
  <c r="B12" i="6"/>
  <c r="B11" i="6"/>
  <c r="B10" i="6"/>
  <c r="B9" i="6"/>
  <c r="B8" i="6"/>
  <c r="B7" i="6"/>
  <c r="B6" i="6"/>
  <c r="B5" i="6"/>
  <c r="B4" i="6"/>
  <c r="B3" i="6"/>
  <c r="B2" i="6"/>
  <c r="B4" i="8"/>
  <c r="F8" i="8" s="1"/>
  <c r="F9" i="8" s="1"/>
  <c r="N183" i="1" l="1" a="1"/>
  <c r="N183" i="1" s="1"/>
  <c r="N119" i="1" a="1"/>
  <c r="N119" i="1" s="1"/>
  <c r="M142" i="1" a="1"/>
  <c r="M142" i="1" s="1"/>
  <c r="M134" i="1" a="1"/>
  <c r="M134" i="1" s="1"/>
  <c r="M126" i="1" a="1"/>
  <c r="M126" i="1" s="1"/>
  <c r="M118" i="1" a="1"/>
  <c r="M118" i="1" s="1"/>
  <c r="M110" i="1" a="1"/>
  <c r="M110" i="1" s="1"/>
  <c r="M101" i="1" a="1"/>
  <c r="M101" i="1" s="1"/>
  <c r="M93" i="1" a="1"/>
  <c r="M93" i="1" s="1"/>
  <c r="M85" i="1" a="1"/>
  <c r="M85" i="1" s="1"/>
  <c r="M77" i="1" a="1"/>
  <c r="M77" i="1" s="1"/>
  <c r="N190" i="1" a="1"/>
  <c r="N190" i="1" s="1"/>
  <c r="N182" i="1" a="1"/>
  <c r="N182" i="1" s="1"/>
  <c r="N174" i="1" a="1"/>
  <c r="N174" i="1" s="1"/>
  <c r="N166" i="1" a="1"/>
  <c r="N166" i="1" s="1"/>
  <c r="N158" i="1" a="1"/>
  <c r="N158" i="1" s="1"/>
  <c r="O158" i="1" s="1"/>
  <c r="N150" i="1" a="1"/>
  <c r="N150" i="1" s="1"/>
  <c r="N142" i="1" a="1"/>
  <c r="N142" i="1" s="1"/>
  <c r="N134" i="1" a="1"/>
  <c r="N134" i="1" s="1"/>
  <c r="N126" i="1" a="1"/>
  <c r="N126" i="1" s="1"/>
  <c r="N33" i="1" a="1"/>
  <c r="N33" i="1" s="1"/>
  <c r="N188" i="1" a="1"/>
  <c r="N188" i="1" s="1"/>
  <c r="N164" i="1" a="1"/>
  <c r="N164" i="1" s="1"/>
  <c r="N156" i="1" a="1"/>
  <c r="N156" i="1" s="1"/>
  <c r="O156" i="1" s="1"/>
  <c r="N132" i="1" a="1"/>
  <c r="N132" i="1" s="1"/>
  <c r="N124" i="1" a="1"/>
  <c r="N124" i="1" s="1"/>
  <c r="M191" i="1" a="1"/>
  <c r="M191" i="1" s="1"/>
  <c r="M183" i="1" a="1"/>
  <c r="M183" i="1" s="1"/>
  <c r="M175" i="1" a="1"/>
  <c r="M175" i="1" s="1"/>
  <c r="M159" i="1" a="1"/>
  <c r="M159" i="1" s="1"/>
  <c r="M151" i="1" a="1"/>
  <c r="M151" i="1" s="1"/>
  <c r="M143" i="1" a="1"/>
  <c r="M143" i="1" s="1"/>
  <c r="M135" i="1" a="1"/>
  <c r="M135" i="1" s="1"/>
  <c r="M127" i="1" a="1"/>
  <c r="M127" i="1" s="1"/>
  <c r="M119" i="1" a="1"/>
  <c r="M119" i="1" s="1"/>
  <c r="M111" i="1" a="1"/>
  <c r="M111" i="1" s="1"/>
  <c r="N195" i="1" a="1"/>
  <c r="N195" i="1" s="1"/>
  <c r="N187" i="1" a="1"/>
  <c r="N187" i="1" s="1"/>
  <c r="N179" i="1" a="1"/>
  <c r="N179" i="1" s="1"/>
  <c r="N171" i="1" a="1"/>
  <c r="N171" i="1" s="1"/>
  <c r="N163" i="1" a="1"/>
  <c r="N163" i="1" s="1"/>
  <c r="N155" i="1" a="1"/>
  <c r="N155" i="1" s="1"/>
  <c r="N147" i="1" a="1"/>
  <c r="N147" i="1" s="1"/>
  <c r="N139" i="1" a="1"/>
  <c r="N139" i="1" s="1"/>
  <c r="N131" i="1" a="1"/>
  <c r="N131" i="1" s="1"/>
  <c r="N123" i="1" a="1"/>
  <c r="N123" i="1" s="1"/>
  <c r="N115" i="1" a="1"/>
  <c r="N115" i="1" s="1"/>
  <c r="N107" i="1" a="1"/>
  <c r="N107" i="1" s="1"/>
  <c r="O107" i="1" s="1"/>
  <c r="N194" i="1" a="1"/>
  <c r="N194" i="1" s="1"/>
  <c r="N170" i="1" a="1"/>
  <c r="N170" i="1" s="1"/>
  <c r="N162" i="1" a="1"/>
  <c r="N162" i="1" s="1"/>
  <c r="N138" i="1" a="1"/>
  <c r="N138" i="1" s="1"/>
  <c r="N130" i="1" a="1"/>
  <c r="N130" i="1" s="1"/>
  <c r="N106" i="1" a="1"/>
  <c r="N106" i="1" s="1"/>
  <c r="M190" i="1" a="1"/>
  <c r="M190" i="1" s="1"/>
  <c r="M182" i="1" a="1"/>
  <c r="M182" i="1" s="1"/>
  <c r="M174" i="1" a="1"/>
  <c r="M174" i="1" s="1"/>
  <c r="M166" i="1" a="1"/>
  <c r="M166" i="1" s="1"/>
  <c r="M158" i="1" a="1"/>
  <c r="M158" i="1" s="1"/>
  <c r="M150" i="1" a="1"/>
  <c r="M150" i="1" s="1"/>
  <c r="O150" i="1" s="1"/>
  <c r="N186" i="1" a="1"/>
  <c r="N186" i="1" s="1"/>
  <c r="N178" i="1" a="1"/>
  <c r="N178" i="1" s="1"/>
  <c r="N154" i="1" a="1"/>
  <c r="N154" i="1" s="1"/>
  <c r="N146" i="1" a="1"/>
  <c r="N146" i="1" s="1"/>
  <c r="O146" i="1" s="1"/>
  <c r="N122" i="1" a="1"/>
  <c r="N122" i="1" s="1"/>
  <c r="N114" i="1" a="1"/>
  <c r="N114" i="1" s="1"/>
  <c r="M12" i="1" a="1"/>
  <c r="M12" i="1" s="1"/>
  <c r="N193" i="1" a="1"/>
  <c r="N193" i="1" s="1"/>
  <c r="N185" i="1" a="1"/>
  <c r="N185" i="1" s="1"/>
  <c r="N177" i="1" a="1"/>
  <c r="N177" i="1" s="1"/>
  <c r="N169" i="1" a="1"/>
  <c r="N169" i="1" s="1"/>
  <c r="N161" i="1" a="1"/>
  <c r="N161" i="1" s="1"/>
  <c r="N153" i="1" a="1"/>
  <c r="N153" i="1" s="1"/>
  <c r="O153" i="1" s="1"/>
  <c r="N145" i="1" a="1"/>
  <c r="N145" i="1" s="1"/>
  <c r="O145" i="1" s="1"/>
  <c r="N137" i="1" a="1"/>
  <c r="N137" i="1" s="1"/>
  <c r="N129" i="1" a="1"/>
  <c r="N129" i="1" s="1"/>
  <c r="N121" i="1" a="1"/>
  <c r="N121" i="1" s="1"/>
  <c r="O121" i="1" s="1"/>
  <c r="N113" i="1" a="1"/>
  <c r="N113" i="1" s="1"/>
  <c r="O113" i="1" s="1"/>
  <c r="M4" i="1" a="1"/>
  <c r="M4" i="1" s="1"/>
  <c r="M103" i="1" a="1"/>
  <c r="M103" i="1" s="1"/>
  <c r="M95" i="1" a="1"/>
  <c r="M95" i="1" s="1"/>
  <c r="M87" i="1" a="1"/>
  <c r="M87" i="1" s="1"/>
  <c r="M79" i="1" a="1"/>
  <c r="M79" i="1" s="1"/>
  <c r="N192" i="1" a="1"/>
  <c r="N192" i="1" s="1"/>
  <c r="N184" i="1" a="1"/>
  <c r="N184" i="1" s="1"/>
  <c r="N176" i="1" a="1"/>
  <c r="N176" i="1" s="1"/>
  <c r="N168" i="1" a="1"/>
  <c r="N168" i="1" s="1"/>
  <c r="N160" i="1" a="1"/>
  <c r="N160" i="1" s="1"/>
  <c r="N152" i="1" a="1"/>
  <c r="N152" i="1" s="1"/>
  <c r="O152" i="1" s="1"/>
  <c r="N144" i="1" a="1"/>
  <c r="N144" i="1" s="1"/>
  <c r="N136" i="1" a="1"/>
  <c r="N136" i="1" s="1"/>
  <c r="N128" i="1" a="1"/>
  <c r="N128" i="1" s="1"/>
  <c r="N120" i="1" a="1"/>
  <c r="N120" i="1" s="1"/>
  <c r="N112" i="1" a="1"/>
  <c r="N112" i="1" s="1"/>
  <c r="M195" i="1" a="1"/>
  <c r="M195" i="1" s="1"/>
  <c r="M187" i="1" a="1"/>
  <c r="M187" i="1" s="1"/>
  <c r="M179" i="1" a="1"/>
  <c r="M179" i="1" s="1"/>
  <c r="M171" i="1" a="1"/>
  <c r="M171" i="1" s="1"/>
  <c r="M163" i="1" a="1"/>
  <c r="M163" i="1" s="1"/>
  <c r="M155" i="1" a="1"/>
  <c r="M155" i="1" s="1"/>
  <c r="M147" i="1" a="1"/>
  <c r="M147" i="1" s="1"/>
  <c r="O147" i="1" s="1"/>
  <c r="M139" i="1" a="1"/>
  <c r="M139" i="1" s="1"/>
  <c r="O139" i="1" s="1"/>
  <c r="M131" i="1" a="1"/>
  <c r="M131" i="1" s="1"/>
  <c r="O131" i="1" s="1"/>
  <c r="M123" i="1" a="1"/>
  <c r="M123" i="1" s="1"/>
  <c r="M115" i="1" a="1"/>
  <c r="M115" i="1" s="1"/>
  <c r="M107" i="1" a="1"/>
  <c r="M107" i="1" s="1"/>
  <c r="N191" i="1" a="1"/>
  <c r="N191" i="1" s="1"/>
  <c r="N175" i="1" a="1"/>
  <c r="N175" i="1" s="1"/>
  <c r="M167" i="1" a="1"/>
  <c r="M167" i="1" s="1"/>
  <c r="N159" i="1" a="1"/>
  <c r="N159" i="1" s="1"/>
  <c r="N143" i="1" a="1"/>
  <c r="N143" i="1" s="1"/>
  <c r="O143" i="1" s="1"/>
  <c r="N135" i="1" a="1"/>
  <c r="N135" i="1" s="1"/>
  <c r="O135" i="1" s="1"/>
  <c r="N127" i="1" a="1"/>
  <c r="N127" i="1" s="1"/>
  <c r="N111" i="1" a="1"/>
  <c r="N111" i="1" s="1"/>
  <c r="N118" i="1" a="1"/>
  <c r="N118" i="1" s="1"/>
  <c r="N110" i="1" a="1"/>
  <c r="N110" i="1" s="1"/>
  <c r="O155" i="1"/>
  <c r="M70" i="1" a="1"/>
  <c r="M70" i="1" s="1"/>
  <c r="M62" i="1" a="1"/>
  <c r="M62" i="1" s="1"/>
  <c r="M54" i="1" a="1"/>
  <c r="M54" i="1" s="1"/>
  <c r="M46" i="1" a="1"/>
  <c r="M46" i="1" s="1"/>
  <c r="N197" i="1" a="1"/>
  <c r="N197" i="1" s="1"/>
  <c r="N189" i="1" a="1"/>
  <c r="N189" i="1" s="1"/>
  <c r="N181" i="1" a="1"/>
  <c r="N181" i="1" s="1"/>
  <c r="N173" i="1" a="1"/>
  <c r="N173" i="1" s="1"/>
  <c r="N165" i="1" a="1"/>
  <c r="N165" i="1" s="1"/>
  <c r="N157" i="1" a="1"/>
  <c r="N157" i="1" s="1"/>
  <c r="O157" i="1" s="1"/>
  <c r="N149" i="1" a="1"/>
  <c r="N149" i="1" s="1"/>
  <c r="O149" i="1" s="1"/>
  <c r="N141" i="1" a="1"/>
  <c r="N141" i="1" s="1"/>
  <c r="N133" i="1" a="1"/>
  <c r="N133" i="1" s="1"/>
  <c r="N125" i="1" a="1"/>
  <c r="N125" i="1" s="1"/>
  <c r="N117" i="1" a="1"/>
  <c r="N117" i="1" s="1"/>
  <c r="O117" i="1" s="1"/>
  <c r="N109" i="1" a="1"/>
  <c r="N109" i="1" s="1"/>
  <c r="O154" i="1"/>
  <c r="N180" i="1" a="1"/>
  <c r="N180" i="1" s="1"/>
  <c r="N172" i="1" a="1"/>
  <c r="N172" i="1" s="1"/>
  <c r="N148" i="1" a="1"/>
  <c r="N148" i="1" s="1"/>
  <c r="O148" i="1" s="1"/>
  <c r="N140" i="1" a="1"/>
  <c r="N140" i="1" s="1"/>
  <c r="N116" i="1" a="1"/>
  <c r="N116" i="1" s="1"/>
  <c r="N108" i="1" a="1"/>
  <c r="N108" i="1" s="1"/>
  <c r="N196" i="1" a="1"/>
  <c r="N196" i="1" s="1"/>
  <c r="N151" i="1" a="1"/>
  <c r="N151" i="1" s="1"/>
  <c r="M102" i="1" a="1"/>
  <c r="M102" i="1" s="1"/>
  <c r="M94" i="1" a="1"/>
  <c r="M94" i="1" s="1"/>
  <c r="M86" i="1" a="1"/>
  <c r="M86" i="1" s="1"/>
  <c r="M78" i="1" a="1"/>
  <c r="M78" i="1" s="1"/>
  <c r="O138" i="1"/>
  <c r="O130" i="1"/>
  <c r="O122" i="1"/>
  <c r="O137" i="1"/>
  <c r="M100" i="1" a="1"/>
  <c r="M100" i="1" s="1"/>
  <c r="M92" i="1" a="1"/>
  <c r="M92" i="1" s="1"/>
  <c r="M84" i="1" a="1"/>
  <c r="M84" i="1" s="1"/>
  <c r="M76" i="1" a="1"/>
  <c r="M76" i="1" s="1"/>
  <c r="O128" i="1"/>
  <c r="O120" i="1"/>
  <c r="N167" i="1" a="1"/>
  <c r="N167" i="1" s="1"/>
  <c r="O127" i="1"/>
  <c r="O126" i="1"/>
  <c r="O129" i="1"/>
  <c r="O125" i="1"/>
  <c r="O124" i="1"/>
  <c r="O144" i="1"/>
  <c r="O136" i="1"/>
  <c r="O142" i="1"/>
  <c r="O134" i="1"/>
  <c r="O141" i="1"/>
  <c r="O140" i="1"/>
  <c r="O133" i="1"/>
  <c r="O132" i="1"/>
  <c r="O114" i="1"/>
  <c r="M98" i="1" a="1"/>
  <c r="M98" i="1" s="1"/>
  <c r="M82" i="1" a="1"/>
  <c r="M82" i="1" s="1"/>
  <c r="N81" i="1" a="1"/>
  <c r="N81" i="1" s="1"/>
  <c r="M91" i="1" a="1"/>
  <c r="M91" i="1" s="1"/>
  <c r="M52" i="1" a="1"/>
  <c r="M52" i="1" s="1"/>
  <c r="M74" i="1" a="1"/>
  <c r="M74" i="1" s="1"/>
  <c r="M66" i="1" a="1"/>
  <c r="M66" i="1" s="1"/>
  <c r="M58" i="1" a="1"/>
  <c r="M58" i="1" s="1"/>
  <c r="M50" i="1" a="1"/>
  <c r="M50" i="1" s="1"/>
  <c r="M75" i="1" a="1"/>
  <c r="M75" i="1" s="1"/>
  <c r="M99" i="1" a="1"/>
  <c r="M99" i="1" s="1"/>
  <c r="M60" i="1" a="1"/>
  <c r="M60" i="1" s="1"/>
  <c r="M51" i="1" a="1"/>
  <c r="M51" i="1" s="1"/>
  <c r="M83" i="1" a="1"/>
  <c r="M83" i="1" s="1"/>
  <c r="M68" i="1" a="1"/>
  <c r="M68" i="1" s="1"/>
  <c r="M67" i="1" a="1"/>
  <c r="M67" i="1" s="1"/>
  <c r="M105" i="1" a="1"/>
  <c r="M105" i="1" s="1"/>
  <c r="M97" i="1" a="1"/>
  <c r="M97" i="1" s="1"/>
  <c r="M89" i="1" a="1"/>
  <c r="M89" i="1" s="1"/>
  <c r="M81" i="1" a="1"/>
  <c r="M81" i="1" s="1"/>
  <c r="M73" i="1" a="1"/>
  <c r="M73" i="1" s="1"/>
  <c r="M65" i="1" a="1"/>
  <c r="M65" i="1" s="1"/>
  <c r="M57" i="1" a="1"/>
  <c r="M57" i="1" s="1"/>
  <c r="M49" i="1" a="1"/>
  <c r="M49" i="1" s="1"/>
  <c r="N87" i="1" a="1"/>
  <c r="N87" i="1" s="1"/>
  <c r="N100" i="1" a="1"/>
  <c r="N100" i="1" s="1"/>
  <c r="M41" i="1" a="1"/>
  <c r="M41" i="1" s="1"/>
  <c r="N98" i="1" a="1"/>
  <c r="N98" i="1" s="1"/>
  <c r="N90" i="1" a="1"/>
  <c r="N90" i="1" s="1"/>
  <c r="N82" i="1" a="1"/>
  <c r="N82" i="1" s="1"/>
  <c r="N105" i="1" a="1"/>
  <c r="N105" i="1" s="1"/>
  <c r="N97" i="1" a="1"/>
  <c r="N97" i="1" s="1"/>
  <c r="N89" i="1" a="1"/>
  <c r="N89" i="1" s="1"/>
  <c r="N104" i="1" a="1"/>
  <c r="N104" i="1" s="1"/>
  <c r="O104" i="1" s="1"/>
  <c r="N96" i="1" a="1"/>
  <c r="N96" i="1" s="1"/>
  <c r="N88" i="1" a="1"/>
  <c r="N88" i="1" s="1"/>
  <c r="N80" i="1" a="1"/>
  <c r="N80" i="1" s="1"/>
  <c r="N103" i="1" a="1"/>
  <c r="N103" i="1" s="1"/>
  <c r="N95" i="1" a="1"/>
  <c r="N95" i="1" s="1"/>
  <c r="N79" i="1" a="1"/>
  <c r="N79" i="1" s="1"/>
  <c r="N102" i="1" a="1"/>
  <c r="N102" i="1" s="1"/>
  <c r="N94" i="1" a="1"/>
  <c r="N94" i="1" s="1"/>
  <c r="N86" i="1" a="1"/>
  <c r="N86" i="1" s="1"/>
  <c r="N78" i="1" a="1"/>
  <c r="N78" i="1" s="1"/>
  <c r="N101" i="1" a="1"/>
  <c r="N101" i="1" s="1"/>
  <c r="N93" i="1" a="1"/>
  <c r="N93" i="1" s="1"/>
  <c r="N85" i="1" a="1"/>
  <c r="N85" i="1" s="1"/>
  <c r="N77" i="1" a="1"/>
  <c r="N77" i="1" s="1"/>
  <c r="N92" i="1" a="1"/>
  <c r="N92" i="1" s="1"/>
  <c r="N84" i="1" a="1"/>
  <c r="N84" i="1" s="1"/>
  <c r="N76" i="1" a="1"/>
  <c r="N76" i="1" s="1"/>
  <c r="N99" i="1" a="1"/>
  <c r="N99" i="1" s="1"/>
  <c r="N91" i="1" a="1"/>
  <c r="N91" i="1" s="1"/>
  <c r="N83" i="1" a="1"/>
  <c r="N83" i="1" s="1"/>
  <c r="N75" i="1" a="1"/>
  <c r="N75" i="1" s="1"/>
  <c r="N72" i="1" a="1"/>
  <c r="N72" i="1" s="1"/>
  <c r="N64" i="1" a="1"/>
  <c r="N64" i="1" s="1"/>
  <c r="N56" i="1" a="1"/>
  <c r="N56" i="1" s="1"/>
  <c r="N48" i="1" a="1"/>
  <c r="N48" i="1" s="1"/>
  <c r="M90" i="1" a="1"/>
  <c r="M90" i="1" s="1"/>
  <c r="N69" i="1" a="1"/>
  <c r="N69" i="1" s="1"/>
  <c r="N61" i="1" a="1"/>
  <c r="N61" i="1" s="1"/>
  <c r="N53" i="1" a="1"/>
  <c r="N53" i="1" s="1"/>
  <c r="N45" i="1" a="1"/>
  <c r="N45" i="1" s="1"/>
  <c r="M44" i="1" a="1"/>
  <c r="M44" i="1" s="1"/>
  <c r="M36" i="1" a="1"/>
  <c r="M36" i="1" s="1"/>
  <c r="M28" i="1" a="1"/>
  <c r="M28" i="1" s="1"/>
  <c r="M20" i="1" a="1"/>
  <c r="M20" i="1" s="1"/>
  <c r="N54" i="1" a="1"/>
  <c r="N54" i="1" s="1"/>
  <c r="M55" i="1" a="1"/>
  <c r="M55" i="1" s="1"/>
  <c r="M71" i="1" a="1"/>
  <c r="M71" i="1" s="1"/>
  <c r="M63" i="1" a="1"/>
  <c r="M63" i="1" s="1"/>
  <c r="M47" i="1" a="1"/>
  <c r="M47" i="1" s="1"/>
  <c r="M8" i="1" a="1"/>
  <c r="M8" i="1" s="1"/>
  <c r="M7" i="1" a="1"/>
  <c r="M7" i="1" s="1"/>
  <c r="M33" i="1" a="1"/>
  <c r="M33" i="1" s="1"/>
  <c r="M25" i="1" a="1"/>
  <c r="M25" i="1" s="1"/>
  <c r="M17" i="1" a="1"/>
  <c r="M17" i="1" s="1"/>
  <c r="N67" i="1" a="1"/>
  <c r="N67" i="1" s="1"/>
  <c r="N59" i="1" a="1"/>
  <c r="N59" i="1" s="1"/>
  <c r="N51" i="1" a="1"/>
  <c r="N51" i="1" s="1"/>
  <c r="N73" i="1" a="1"/>
  <c r="N73" i="1" s="1"/>
  <c r="M69" i="1" a="1"/>
  <c r="M69" i="1" s="1"/>
  <c r="M53" i="1" a="1"/>
  <c r="M53" i="1" s="1"/>
  <c r="M59" i="1" a="1"/>
  <c r="M59" i="1" s="1"/>
  <c r="M40" i="1" a="1"/>
  <c r="M40" i="1" s="1"/>
  <c r="M16" i="1" a="1"/>
  <c r="M16" i="1" s="1"/>
  <c r="N74" i="1" a="1"/>
  <c r="N74" i="1" s="1"/>
  <c r="N66" i="1" a="1"/>
  <c r="N66" i="1" s="1"/>
  <c r="N58" i="1" a="1"/>
  <c r="N58" i="1" s="1"/>
  <c r="N50" i="1" a="1"/>
  <c r="N50" i="1" s="1"/>
  <c r="M61" i="1" a="1"/>
  <c r="M61" i="1" s="1"/>
  <c r="M45" i="1" a="1"/>
  <c r="M45" i="1" s="1"/>
  <c r="M32" i="1" a="1"/>
  <c r="M32" i="1" s="1"/>
  <c r="M24" i="1" a="1"/>
  <c r="M24" i="1" s="1"/>
  <c r="M39" i="1" a="1"/>
  <c r="M39" i="1" s="1"/>
  <c r="M31" i="1" a="1"/>
  <c r="M31" i="1" s="1"/>
  <c r="M23" i="1" a="1"/>
  <c r="M23" i="1" s="1"/>
  <c r="M15" i="1" a="1"/>
  <c r="M15" i="1" s="1"/>
  <c r="N65" i="1" a="1"/>
  <c r="N65" i="1" s="1"/>
  <c r="N57" i="1" a="1"/>
  <c r="N57" i="1" s="1"/>
  <c r="N49" i="1" a="1"/>
  <c r="N49" i="1" s="1"/>
  <c r="N71" i="1" a="1"/>
  <c r="N71" i="1" s="1"/>
  <c r="N63" i="1" a="1"/>
  <c r="N63" i="1" s="1"/>
  <c r="N55" i="1" a="1"/>
  <c r="N55" i="1" s="1"/>
  <c r="N47" i="1" a="1"/>
  <c r="N47" i="1" s="1"/>
  <c r="M72" i="1" a="1"/>
  <c r="M72" i="1" s="1"/>
  <c r="M64" i="1" a="1"/>
  <c r="M64" i="1" s="1"/>
  <c r="M56" i="1" a="1"/>
  <c r="M56" i="1" s="1"/>
  <c r="M48" i="1" a="1"/>
  <c r="M48" i="1" s="1"/>
  <c r="N70" i="1" a="1"/>
  <c r="N70" i="1" s="1"/>
  <c r="N62" i="1" a="1"/>
  <c r="N62" i="1" s="1"/>
  <c r="N46" i="1" a="1"/>
  <c r="N46" i="1" s="1"/>
  <c r="N68" i="1" a="1"/>
  <c r="N68" i="1" s="1"/>
  <c r="N60" i="1" a="1"/>
  <c r="N60" i="1" s="1"/>
  <c r="N52" i="1" a="1"/>
  <c r="N52" i="1" s="1"/>
  <c r="M42" i="1" a="1"/>
  <c r="M42" i="1" s="1"/>
  <c r="M34" i="1" a="1"/>
  <c r="M34" i="1" s="1"/>
  <c r="M26" i="1" a="1"/>
  <c r="M26" i="1" s="1"/>
  <c r="M18" i="1" a="1"/>
  <c r="M18" i="1" s="1"/>
  <c r="M37" i="1" a="1"/>
  <c r="M37" i="1" s="1"/>
  <c r="M29" i="1" a="1"/>
  <c r="M29" i="1" s="1"/>
  <c r="M21" i="1" a="1"/>
  <c r="M21" i="1" s="1"/>
  <c r="M38" i="1" a="1"/>
  <c r="M38" i="1" s="1"/>
  <c r="M30" i="1" a="1"/>
  <c r="M30" i="1" s="1"/>
  <c r="M22" i="1" a="1"/>
  <c r="M22" i="1" s="1"/>
  <c r="M14" i="1" a="1"/>
  <c r="M14" i="1" s="1"/>
  <c r="N12" i="1" a="1"/>
  <c r="N12" i="1" s="1"/>
  <c r="N11" i="1" a="1"/>
  <c r="N11" i="1" s="1"/>
  <c r="N43" i="1" a="1"/>
  <c r="N43" i="1" s="1"/>
  <c r="N35" i="1" a="1"/>
  <c r="N35" i="1" s="1"/>
  <c r="N27" i="1" a="1"/>
  <c r="N27" i="1" s="1"/>
  <c r="N19" i="1" a="1"/>
  <c r="N19" i="1" s="1"/>
  <c r="M6" i="1" a="1"/>
  <c r="M6" i="1" s="1"/>
  <c r="N3" i="1" a="1"/>
  <c r="N3" i="1" s="1"/>
  <c r="N9" i="1" a="1"/>
  <c r="N9" i="1" s="1"/>
  <c r="N7" i="1" a="1"/>
  <c r="N7" i="1" s="1"/>
  <c r="N10" i="1" a="1"/>
  <c r="N10" i="1" s="1"/>
  <c r="N2" i="1" a="1"/>
  <c r="N2" i="1" s="1"/>
  <c r="N44" i="1" a="1"/>
  <c r="N44" i="1" s="1"/>
  <c r="N36" i="1" a="1"/>
  <c r="N36" i="1" s="1"/>
  <c r="N28" i="1" a="1"/>
  <c r="N28" i="1" s="1"/>
  <c r="N20" i="1" a="1"/>
  <c r="N20" i="1" s="1"/>
  <c r="M11" i="1" a="1"/>
  <c r="M11" i="1" s="1"/>
  <c r="M3" i="1" a="1"/>
  <c r="M3" i="1" s="1"/>
  <c r="N8" i="1" a="1"/>
  <c r="N8" i="1" s="1"/>
  <c r="M43" i="1" a="1"/>
  <c r="M43" i="1" s="1"/>
  <c r="M35" i="1" a="1"/>
  <c r="M35" i="1" s="1"/>
  <c r="M27" i="1" a="1"/>
  <c r="M27" i="1" s="1"/>
  <c r="M19" i="1" a="1"/>
  <c r="M19" i="1" s="1"/>
  <c r="N42" i="1" a="1"/>
  <c r="N42" i="1" s="1"/>
  <c r="N34" i="1" a="1"/>
  <c r="N34" i="1" s="1"/>
  <c r="N26" i="1" a="1"/>
  <c r="N26" i="1" s="1"/>
  <c r="N18" i="1" a="1"/>
  <c r="N18" i="1" s="1"/>
  <c r="N41" i="1" a="1"/>
  <c r="N41" i="1" s="1"/>
  <c r="N25" i="1" a="1"/>
  <c r="N25" i="1" s="1"/>
  <c r="N17" i="1" a="1"/>
  <c r="N17" i="1" s="1"/>
  <c r="M9" i="1" a="1"/>
  <c r="M9" i="1" s="1"/>
  <c r="N6" i="1" a="1"/>
  <c r="N6" i="1" s="1"/>
  <c r="N40" i="1" a="1"/>
  <c r="N40" i="1" s="1"/>
  <c r="N32" i="1" a="1"/>
  <c r="N32" i="1" s="1"/>
  <c r="N24" i="1" a="1"/>
  <c r="N24" i="1" s="1"/>
  <c r="N16" i="1" a="1"/>
  <c r="N16" i="1" s="1"/>
  <c r="N5" i="1" a="1"/>
  <c r="N5" i="1" s="1"/>
  <c r="N39" i="1" a="1"/>
  <c r="N39" i="1" s="1"/>
  <c r="N31" i="1" a="1"/>
  <c r="N31" i="1" s="1"/>
  <c r="N23" i="1" a="1"/>
  <c r="N23" i="1" s="1"/>
  <c r="N15" i="1" a="1"/>
  <c r="N15" i="1" s="1"/>
  <c r="N4" i="1" a="1"/>
  <c r="N4" i="1" s="1"/>
  <c r="N38" i="1" a="1"/>
  <c r="N38" i="1" s="1"/>
  <c r="N30" i="1" a="1"/>
  <c r="N30" i="1" s="1"/>
  <c r="N22" i="1" a="1"/>
  <c r="N22" i="1" s="1"/>
  <c r="N14" i="1" a="1"/>
  <c r="N14" i="1" s="1"/>
  <c r="N37" i="1" a="1"/>
  <c r="N37" i="1" s="1"/>
  <c r="N29" i="1" a="1"/>
  <c r="N29" i="1" s="1"/>
  <c r="N21" i="1" a="1"/>
  <c r="N21" i="1" s="1"/>
  <c r="M5" i="1" a="1"/>
  <c r="M5" i="1" s="1"/>
  <c r="N13" i="1" a="1"/>
  <c r="N13" i="1" s="1"/>
  <c r="M13" i="1" a="1"/>
  <c r="M13" i="1" s="1"/>
  <c r="L2" i="9"/>
  <c r="O108" i="1" s="1"/>
  <c r="M10" i="1" a="1"/>
  <c r="M10" i="1" s="1"/>
  <c r="M2" i="1" a="1"/>
  <c r="M2" i="1" s="1"/>
  <c r="G8" i="8"/>
  <c r="G9" i="8" s="1"/>
  <c r="O70" i="1" l="1"/>
  <c r="O48" i="1"/>
  <c r="O151" i="1"/>
  <c r="O123" i="1"/>
  <c r="O116" i="1"/>
  <c r="O100" i="1"/>
  <c r="O105" i="1"/>
  <c r="O80" i="1"/>
  <c r="O110" i="1"/>
  <c r="O109" i="1"/>
  <c r="O112" i="1"/>
  <c r="O111" i="1"/>
  <c r="O115" i="1"/>
  <c r="O119" i="1"/>
  <c r="O103" i="1"/>
  <c r="O106" i="1"/>
  <c r="O118" i="1"/>
  <c r="O102" i="1"/>
  <c r="O49" i="1"/>
  <c r="O93" i="1"/>
  <c r="O99" i="1"/>
  <c r="O40" i="1"/>
  <c r="O7" i="1"/>
  <c r="O3" i="1"/>
  <c r="O34" i="1"/>
  <c r="O63" i="1"/>
  <c r="O26" i="1"/>
  <c r="O13" i="1"/>
  <c r="O4" i="1"/>
  <c r="O32" i="1"/>
  <c r="O8" i="1"/>
  <c r="O52" i="1"/>
  <c r="O20" i="1"/>
  <c r="O46" i="1"/>
  <c r="O62" i="1"/>
  <c r="O94" i="1"/>
  <c r="O96" i="1"/>
  <c r="O79" i="1"/>
  <c r="O71" i="1"/>
  <c r="O98" i="1"/>
  <c r="O68" i="1"/>
  <c r="O58" i="1"/>
  <c r="O67" i="1"/>
  <c r="O55" i="1"/>
  <c r="O76" i="1"/>
  <c r="O77" i="1"/>
  <c r="O95" i="1"/>
  <c r="O66" i="1"/>
  <c r="O60" i="1"/>
  <c r="O75" i="1"/>
  <c r="O10" i="1"/>
  <c r="O39" i="1"/>
  <c r="O17" i="1"/>
  <c r="O19" i="1"/>
  <c r="O28" i="1"/>
  <c r="O56" i="1"/>
  <c r="O59" i="1"/>
  <c r="O84" i="1"/>
  <c r="O85" i="1"/>
  <c r="O57" i="1"/>
  <c r="O74" i="1"/>
  <c r="O83" i="1"/>
  <c r="O25" i="1"/>
  <c r="O36" i="1"/>
  <c r="O64" i="1"/>
  <c r="O61" i="1"/>
  <c r="O53" i="1"/>
  <c r="O92" i="1"/>
  <c r="O101" i="1"/>
  <c r="O65" i="1"/>
  <c r="O81" i="1"/>
  <c r="O91" i="1"/>
  <c r="O33" i="1"/>
  <c r="O44" i="1"/>
  <c r="O38" i="1"/>
  <c r="O12" i="1"/>
  <c r="O72" i="1"/>
  <c r="O50" i="1"/>
  <c r="O69" i="1"/>
  <c r="O78" i="1"/>
  <c r="O89" i="1"/>
  <c r="O73" i="1"/>
  <c r="O97" i="1"/>
  <c r="O87" i="1"/>
  <c r="O16" i="1"/>
  <c r="O35" i="1"/>
  <c r="O24" i="1"/>
  <c r="O41" i="1"/>
  <c r="O43" i="1"/>
  <c r="O51" i="1"/>
  <c r="O45" i="1"/>
  <c r="O47" i="1"/>
  <c r="O54" i="1"/>
  <c r="O86" i="1"/>
  <c r="O82" i="1"/>
  <c r="O90" i="1"/>
  <c r="O88" i="1"/>
  <c r="O27" i="1"/>
  <c r="O30" i="1"/>
  <c r="O11" i="1"/>
  <c r="O18" i="1"/>
  <c r="O31" i="1"/>
  <c r="O2" i="1"/>
  <c r="O9" i="1"/>
  <c r="O21" i="1"/>
  <c r="O6" i="1"/>
  <c r="O22" i="1"/>
  <c r="O29" i="1"/>
  <c r="O5" i="1"/>
  <c r="O37" i="1"/>
  <c r="O42" i="1"/>
  <c r="O15" i="1"/>
  <c r="O23" i="1"/>
  <c r="O14" i="1"/>
  <c r="H8" i="8"/>
  <c r="H9" i="8" s="1"/>
  <c r="Q120" i="1" l="1"/>
  <c r="Q13" i="1"/>
  <c r="Q104" i="1"/>
  <c r="Q59" i="1"/>
  <c r="Q74" i="1"/>
  <c r="Q89" i="1"/>
  <c r="Q43" i="1"/>
  <c r="Q28" i="1"/>
  <c r="I8" i="8"/>
  <c r="I9" i="8" s="1"/>
  <c r="J8" i="8" l="1"/>
  <c r="J9" i="8" s="1"/>
  <c r="K8" i="8" l="1"/>
  <c r="K9" i="8" s="1"/>
  <c r="L8" i="8" l="1"/>
  <c r="L9" i="8" s="1"/>
  <c r="F10" i="8" l="1"/>
  <c r="F11" i="8" s="1"/>
  <c r="G10" i="8" l="1"/>
  <c r="G11" i="8" s="1"/>
  <c r="H10" i="8" l="1"/>
  <c r="H11" i="8" s="1"/>
  <c r="I10" i="8" l="1"/>
  <c r="I11" i="8" s="1"/>
  <c r="J10" i="8" l="1"/>
  <c r="J11" i="8" s="1"/>
  <c r="K10" i="8" l="1"/>
  <c r="K11" i="8" s="1"/>
  <c r="L10" i="8" l="1"/>
  <c r="L11" i="8" s="1"/>
  <c r="F12" i="8" l="1"/>
  <c r="F13" i="8" s="1"/>
  <c r="G12" i="8" l="1"/>
  <c r="G13" i="8" s="1"/>
  <c r="H12" i="8" l="1"/>
  <c r="H13" i="8" s="1"/>
  <c r="I12" i="8" l="1"/>
  <c r="I13" i="8" s="1"/>
  <c r="J12" i="8" l="1"/>
  <c r="J13" i="8" s="1"/>
  <c r="K12" i="8" l="1"/>
  <c r="K13" i="8" s="1"/>
  <c r="L12" i="8" l="1"/>
  <c r="L13" i="8" s="1"/>
  <c r="F14" i="8" l="1"/>
  <c r="F15" i="8" s="1"/>
  <c r="G14" i="8" l="1"/>
  <c r="G15" i="8" s="1"/>
  <c r="H14" i="8" l="1"/>
  <c r="H15" i="8" s="1"/>
  <c r="I14" i="8" l="1"/>
  <c r="I15" i="8" s="1"/>
  <c r="J14" i="8" l="1"/>
  <c r="J15" i="8" s="1"/>
  <c r="K14" i="8" l="1"/>
  <c r="K15" i="8" s="1"/>
  <c r="L14" i="8" l="1"/>
  <c r="L15" i="8" s="1"/>
  <c r="F16" i="8" l="1"/>
  <c r="F17" i="8" s="1"/>
  <c r="G16" i="8" l="1"/>
  <c r="G17" i="8" s="1"/>
  <c r="H16" i="8" l="1"/>
  <c r="H17" i="8" s="1"/>
  <c r="I16" i="8" l="1"/>
  <c r="I17" i="8" s="1"/>
  <c r="J16" i="8" l="1"/>
  <c r="J17" i="8" s="1"/>
  <c r="K16" i="8" l="1"/>
  <c r="K17" i="8" s="1"/>
  <c r="L16" i="8" l="1"/>
  <c r="L17" i="8" s="1"/>
  <c r="F18" i="8" l="1"/>
  <c r="F19" i="8" s="1"/>
  <c r="G18" i="8" l="1"/>
  <c r="G19" i="8" s="1"/>
  <c r="H18" i="8" l="1"/>
  <c r="H19" i="8" s="1"/>
  <c r="I18" i="8" l="1"/>
  <c r="I19" i="8" s="1"/>
  <c r="J18" i="8" l="1"/>
  <c r="J19" i="8" s="1"/>
  <c r="K18" i="8" l="1"/>
  <c r="K19" i="8" s="1"/>
  <c r="L18" i="8" l="1"/>
  <c r="L19" i="8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<sst xmlns="http://schemas.openxmlformats.org/spreadsheetml/2006/main" count="554" uniqueCount="101">
  <si>
    <t>Date</t>
  </si>
  <si>
    <t>Night Differential</t>
  </si>
  <si>
    <t>Overtime</t>
  </si>
  <si>
    <t>Undertime</t>
  </si>
  <si>
    <t>Late</t>
  </si>
  <si>
    <t>Day Status</t>
  </si>
  <si>
    <t>Year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</si>
  <si>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</si>
  <si>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</si>
  <si>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</si>
  <si>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</si>
  <si>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</si>
  <si>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</si>
  <si>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</si>
  <si>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</si>
  <si>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</si>
  <si>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</si>
  <si>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</si>
  <si>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</si>
  <si>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Month</t>
  </si>
  <si>
    <t>Monday</t>
  </si>
  <si>
    <t>Tuesday</t>
  </si>
  <si>
    <t>Wednesday</t>
  </si>
  <si>
    <t>Thursday</t>
  </si>
  <si>
    <t>Friday</t>
  </si>
  <si>
    <t>Saturday</t>
  </si>
  <si>
    <t>Sunday</t>
  </si>
  <si>
    <t>Day</t>
  </si>
  <si>
    <t>Holiday Name</t>
  </si>
  <si>
    <t>Country</t>
  </si>
  <si>
    <t>Type</t>
  </si>
  <si>
    <t>New Year's Day</t>
  </si>
  <si>
    <t>President's Day</t>
  </si>
  <si>
    <t>Maundy Thursday</t>
  </si>
  <si>
    <t>Good Friday</t>
  </si>
  <si>
    <t>Memorial Day</t>
  </si>
  <si>
    <t>Juneteenth</t>
  </si>
  <si>
    <t>Independence Day</t>
  </si>
  <si>
    <t>National Heroes Day</t>
  </si>
  <si>
    <t>Labor Day</t>
  </si>
  <si>
    <t>All Soul's Day</t>
  </si>
  <si>
    <t>Christmas Day</t>
  </si>
  <si>
    <t>New Year's Eve</t>
  </si>
  <si>
    <t>Philippine Holiday</t>
  </si>
  <si>
    <t>US Holiday</t>
  </si>
  <si>
    <t>Regular</t>
  </si>
  <si>
    <t>NA</t>
  </si>
  <si>
    <t>Special</t>
  </si>
  <si>
    <t>Working or Non-Working</t>
  </si>
  <si>
    <t>Non-Working</t>
  </si>
  <si>
    <t>Chinese New Year</t>
  </si>
  <si>
    <t>Eid'l Fitr</t>
  </si>
  <si>
    <t>Black Saturday</t>
  </si>
  <si>
    <t>Valor Day</t>
  </si>
  <si>
    <t>Eidul Adha</t>
  </si>
  <si>
    <t>Quezon City Day</t>
  </si>
  <si>
    <t>Ninoy Aquino Day</t>
  </si>
  <si>
    <t>All Saints' Day</t>
  </si>
  <si>
    <t>Bonifacio Day</t>
  </si>
  <si>
    <t>Feast of the Immaculate Conception of Mary</t>
  </si>
  <si>
    <t>Christmas Eve</t>
  </si>
  <si>
    <t>Rizal Day</t>
  </si>
  <si>
    <t>Working</t>
  </si>
  <si>
    <t>Regular Non-Working Holiday</t>
  </si>
  <si>
    <t>Special Non-Working Holiday</t>
  </si>
  <si>
    <t>Regular Working Holiday</t>
  </si>
  <si>
    <t>Special Working Holiday</t>
  </si>
  <si>
    <t>Night Differential OT</t>
  </si>
  <si>
    <t>Leave</t>
  </si>
  <si>
    <t>Absent</t>
  </si>
  <si>
    <t>Attendance Status</t>
  </si>
  <si>
    <t>Worked</t>
  </si>
  <si>
    <t>Approved Sick Leave</t>
  </si>
  <si>
    <t>Approved Vacation Leave</t>
  </si>
  <si>
    <t>Vacation Leave Without Pay</t>
  </si>
  <si>
    <t>Sick Leave Without Pay</t>
  </si>
  <si>
    <t>Yes</t>
  </si>
  <si>
    <t>No</t>
  </si>
  <si>
    <t>Rest Day?</t>
  </si>
  <si>
    <t>How Much is Your Night Differential?</t>
  </si>
  <si>
    <t>Daily Basic Rate:</t>
  </si>
  <si>
    <t>Multiplier</t>
  </si>
  <si>
    <t>Rest Day</t>
  </si>
  <si>
    <t>Hourly Premium Equivalent:</t>
  </si>
  <si>
    <t>Night Differential:</t>
  </si>
  <si>
    <t>Work Hours</t>
  </si>
  <si>
    <t>Multiplier OT</t>
  </si>
  <si>
    <t>Daily Salary</t>
  </si>
  <si>
    <t>How Much is Your Monthly Salary?</t>
  </si>
  <si>
    <t>Atendance Status</t>
  </si>
  <si>
    <t>FEBRUARY</t>
  </si>
  <si>
    <t>MARCH</t>
  </si>
  <si>
    <t>APRIL</t>
  </si>
  <si>
    <t>Holiday</t>
  </si>
  <si>
    <t>Start</t>
  </si>
  <si>
    <t>Cutoff Salary</t>
  </si>
  <si>
    <t>CALENDAR</t>
  </si>
  <si>
    <t>MAY</t>
  </si>
  <si>
    <t>JUNE</t>
  </si>
  <si>
    <t>JULY</t>
  </si>
  <si>
    <t>AUGUST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</si>
</sst>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"/>
    <numFmt numFmtId="165" formatCode="mmmm\ dd"/>
    <numFmt numFmtId="166" formatCode="[$₱-464]#,##0.00"/>
    <numFmt numFmtId="167" formatCode="[$₱-464]#,##0.00;\-[$₱-464]#,##0.00"/>
    <numFmt numFmtId="168" formatCode="mm"/>
  </numFmts>
  <fonts count="5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6" tint="0.3999755851924192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39997558519241921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9" tint="-0.499984740745262"/>
      </left>
      <right style="thin">
        <color theme="9" tint="-0.499984740745262"/>
      </right>
      <top style="thin">
        <color theme="9" tint="-0.499984740745262"/>
      </top>
      <bottom style="thin">
        <color theme="9" tint="-0.4999847407452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9" tint="-0.499984740745262"/>
      </left>
      <right style="thin">
        <color indexed="64"/>
      </right>
      <top style="thin">
        <color theme="9" tint="-0.499984740745262"/>
      </top>
      <bottom style="thin">
        <color indexed="64"/>
      </bottom>
      <diagonal/>
    </border>
    <border>
      <left style="thin">
        <color indexed="64"/>
      </left>
      <right style="thin">
        <color theme="9" tint="-0.499984740745262"/>
      </right>
      <top style="thin">
        <color theme="9" tint="-0.499984740745262"/>
      </top>
      <bottom style="thin">
        <color indexed="64"/>
      </bottom>
      <diagonal/>
    </border>
    <border>
      <left style="thin">
        <color theme="9" tint="-0.499984740745262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9" tint="-0.499984740745262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9" tint="-0.499984740745262"/>
      </bottom>
      <diagonal/>
    </border>
    <border>
      <left style="thin">
        <color indexed="64"/>
      </left>
      <right style="thin">
        <color theme="9" tint="-0.499984740745262"/>
      </right>
      <top style="thin">
        <color indexed="64"/>
      </top>
      <bottom style="thin">
        <color theme="9" tint="-0.499984740745262"/>
      </bottom>
      <diagonal/>
    </border>
    <border>
      <left/>
      <right style="thin">
        <color theme="9" tint="-0.499984740745262"/>
      </right>
      <top style="thin">
        <color theme="9" tint="-0.499984740745262"/>
      </top>
      <bottom style="thin">
        <color indexed="64"/>
      </bottom>
      <diagonal/>
    </border>
    <border>
      <left/>
      <right style="thin">
        <color theme="9" tint="-0.499984740745262"/>
      </right>
      <top style="thin">
        <color indexed="64"/>
      </top>
      <bottom style="thin">
        <color indexed="64"/>
      </bottom>
      <diagonal/>
    </border>
    <border>
      <left/>
      <right style="thin">
        <color theme="9" tint="-0.499984740745262"/>
      </right>
      <top style="thin">
        <color indexed="64"/>
      </top>
      <bottom style="thin">
        <color theme="9" tint="-0.499984740745262"/>
      </bottom>
      <diagonal/>
    </border>
    <border>
      <left style="thin">
        <color theme="9" tint="-0.499984740745262"/>
      </left>
      <right style="thin">
        <color indexed="64"/>
      </right>
      <top style="thin">
        <color indexed="64"/>
      </top>
      <bottom/>
      <diagonal/>
    </border>
    <border>
      <left style="thin">
        <color theme="9" tint="-0.499984740745262"/>
      </left>
      <right style="thin">
        <color indexed="64"/>
      </right>
      <top/>
      <bottom style="thin">
        <color theme="9" tint="-0.499984740745262"/>
      </bottom>
      <diagonal/>
    </border>
    <border>
      <left style="thin">
        <color theme="9" tint="-0.499984740745262"/>
      </left>
      <right style="thin">
        <color theme="9" tint="-0.499984740745262"/>
      </right>
      <top/>
      <bottom style="thin">
        <color indexed="64"/>
      </bottom>
      <diagonal/>
    </border>
    <border>
      <left style="thin">
        <color theme="9" tint="-0.499984740745262"/>
      </left>
      <right style="thin">
        <color theme="9" tint="-0.499984740745262"/>
      </right>
      <top style="thin">
        <color indexed="64"/>
      </top>
      <bottom style="thin">
        <color theme="9" tint="-0.499984740745262"/>
      </bottom>
      <diagonal/>
    </border>
    <border>
      <left style="thin">
        <color theme="9" tint="-0.499984740745262"/>
      </left>
      <right style="thin">
        <color theme="9" tint="-0.499984740745262"/>
      </right>
      <top/>
      <bottom style="thin">
        <color theme="9" tint="-0.499984740745262"/>
      </bottom>
      <diagonal/>
    </border>
    <border>
      <left/>
      <right style="thin">
        <color rgb="FFB2B2B2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0" xfId="0" applyAlignment="1">
      <alignment horizontal="left"/>
    </xf>
    <xf numFmtId="165" fontId="0" fillId="0" borderId="0" xfId="0" applyNumberFormat="1" applyAlignment="1">
      <alignment horizontal="center"/>
    </xf>
    <xf numFmtId="165" fontId="0" fillId="0" borderId="0" xfId="0" applyNumberFormat="1"/>
    <xf numFmtId="0" fontId="0" fillId="3" borderId="0" xfId="0" applyFill="1"/>
    <xf numFmtId="0" fontId="3" fillId="2" borderId="0" xfId="0" applyFont="1" applyFill="1"/>
    <xf numFmtId="0" fontId="0" fillId="4" borderId="0" xfId="0" applyFill="1"/>
    <xf numFmtId="0" fontId="0" fillId="5" borderId="0" xfId="0" applyFill="1"/>
    <xf numFmtId="9" fontId="0" fillId="0" borderId="0" xfId="0" applyNumberFormat="1"/>
    <xf numFmtId="166" fontId="0" fillId="0" borderId="0" xfId="0" applyNumberFormat="1"/>
    <xf numFmtId="167" fontId="0" fillId="0" borderId="0" xfId="0" applyNumberFormat="1"/>
    <xf numFmtId="164" fontId="0" fillId="0" borderId="1" xfId="0" applyNumberFormat="1" applyBorder="1"/>
    <xf numFmtId="0" fontId="2" fillId="0" borderId="1" xfId="0" applyFont="1" applyBorder="1" applyAlignment="1">
      <alignment horizontal="center" vertical="center"/>
    </xf>
    <xf numFmtId="164" fontId="0" fillId="0" borderId="3" xfId="0" applyNumberFormat="1" applyBorder="1"/>
    <xf numFmtId="0" fontId="2" fillId="0" borderId="3" xfId="0" applyFont="1" applyBorder="1" applyAlignment="1">
      <alignment horizontal="center" vertical="center"/>
    </xf>
    <xf numFmtId="164" fontId="0" fillId="0" borderId="5" xfId="0" applyNumberFormat="1" applyBorder="1"/>
    <xf numFmtId="164" fontId="0" fillId="0" borderId="8" xfId="0" applyNumberFormat="1" applyBorder="1"/>
    <xf numFmtId="164" fontId="0" fillId="0" borderId="9" xfId="0" applyNumberFormat="1" applyBorder="1"/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164" fontId="0" fillId="0" borderId="13" xfId="0" applyNumberFormat="1" applyBorder="1"/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164" fontId="0" fillId="0" borderId="2" xfId="0" applyNumberFormat="1" applyBorder="1"/>
    <xf numFmtId="164" fontId="0" fillId="0" borderId="15" xfId="0" applyNumberFormat="1" applyBorder="1"/>
    <xf numFmtId="0" fontId="2" fillId="0" borderId="16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64" fontId="0" fillId="0" borderId="17" xfId="0" applyNumberFormat="1" applyBorder="1"/>
    <xf numFmtId="164" fontId="0" fillId="0" borderId="19" xfId="0" applyNumberFormat="1" applyBorder="1"/>
    <xf numFmtId="0" fontId="2" fillId="0" borderId="18" xfId="0" applyFont="1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166" fontId="4" fillId="0" borderId="0" xfId="0" applyNumberFormat="1" applyFont="1" applyAlignment="1">
      <alignment horizontal="center" vertical="center"/>
    </xf>
    <xf numFmtId="165" fontId="4" fillId="0" borderId="0" xfId="0" applyNumberFormat="1" applyFont="1"/>
    <xf numFmtId="0" fontId="4" fillId="0" borderId="0" xfId="0" applyFont="1" applyAlignment="1">
      <alignment horizontal="center" vertical="center" textRotation="90"/>
    </xf>
    <xf numFmtId="0" fontId="0" fillId="0" borderId="0" xfId="0" applyAlignment="1">
      <alignment horizontal="center" vertical="center" textRotation="90"/>
    </xf>
    <xf numFmtId="14" fontId="0" fillId="0" borderId="0" xfId="0" applyNumberFormat="1" applyAlignment="1">
      <alignment horizontal="left"/>
    </xf>
    <xf numFmtId="0" fontId="4" fillId="0" borderId="0" xfId="0" applyFont="1" applyAlignment="1">
      <alignment horizontal="right" vertical="center"/>
    </xf>
    <xf numFmtId="0" fontId="0" fillId="0" borderId="0" xfId="0" applyAlignment="1">
      <alignment horizontal="right"/>
    </xf>
    <xf numFmtId="14" fontId="4" fillId="0" borderId="0" xfId="0" applyNumberFormat="1" applyFont="1" applyAlignment="1">
      <alignment horizontal="left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168" fontId="0" fillId="0" borderId="0" xfId="0" applyNumberFormat="1"/>
    <xf numFmtId="0" fontId="0" fillId="0" borderId="0" xfId="0" applyAlignment="1">
      <alignment horizontal="center" vertical="center" textRotation="90"/>
    </xf>
    <xf numFmtId="0" fontId="0" fillId="0" borderId="20" xfId="0" applyBorder="1" applyAlignment="1">
      <alignment horizontal="center" vertical="center" textRotation="90"/>
    </xf>
    <xf numFmtId="0" fontId="4" fillId="0" borderId="21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6">
    <dxf>
      <font>
        <color theme="6" tint="0.39994506668294322"/>
      </font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8C653-6B05-4652-AA13-DB7F39629BC4}">
  <dimension ref="A1:Q197"/>
  <sheetViews>
    <sheetView tabSelected="1" zoomScaleNormal="100" workbookViewId="0">
      <pane ySplit="1" topLeftCell="A2" activePane="bottomLeft" state="frozen"/>
      <selection pane="bottomLeft" activeCell="E5" sqref="E5"/>
    </sheetView>
  </sheetViews>
  <sheetFormatPr defaultRowHeight="15" x14ac:dyDescent="0.25"/>
  <cols>
    <col min="1" max="1" width="9.140625" style="37"/>
    <col min="2" max="2" width="14.7109375" style="38" customWidth="1"/>
    <col min="3" max="3" width="14.7109375" style="38" hidden="1" customWidth="1"/>
    <col min="4" max="4" width="28.42578125" style="1" customWidth="1"/>
    <col min="5" max="5" width="29.7109375" customWidth="1"/>
    <col min="6" max="6" width="14.140625" customWidth="1"/>
    <col min="7" max="7" width="12.7109375" customWidth="1"/>
    <col min="8" max="8" width="6.85546875" customWidth="1"/>
    <col min="9" max="9" width="10.5703125" bestFit="1" customWidth="1"/>
    <col min="10" max="10" width="10" customWidth="1"/>
    <col min="11" max="11" width="16.85546875" style="40" bestFit="1" customWidth="1"/>
    <col min="12" max="12" width="19.85546875" bestFit="1" customWidth="1"/>
    <col min="14" max="14" width="12.28515625" bestFit="1" customWidth="1"/>
    <col min="15" max="15" width="18.140625" style="9" customWidth="1"/>
    <col min="16" max="16" width="11.85546875" customWidth="1"/>
    <col min="17" max="17" width="12.7109375" bestFit="1" customWidth="1"/>
  </cols>
  <sheetData>
    <row r="1" spans="1:17" s="33" customFormat="1" ht="22.9" customHeight="1" x14ac:dyDescent="0.25">
      <c r="A1" s="36"/>
      <c r="B1" s="41" t="s">
        <v>0</v>
      </c>
      <c r="C1" s="47" t="s">
        <v>19</v>
      </c>
      <c r="D1" s="33" t="s">
        <v>5</v>
      </c>
      <c r="E1" s="33" t="s">
        <v>70</v>
      </c>
      <c r="F1" s="33" t="s">
        <v>78</v>
      </c>
      <c r="G1" s="33" t="s">
        <v>85</v>
      </c>
      <c r="H1" s="33" t="s">
        <v>4</v>
      </c>
      <c r="I1" s="33" t="s">
        <v>3</v>
      </c>
      <c r="J1" s="33" t="s">
        <v>2</v>
      </c>
      <c r="K1" s="39" t="s">
        <v>1</v>
      </c>
      <c r="L1" s="33" t="s">
        <v>67</v>
      </c>
      <c r="M1" s="33" t="s">
        <v>81</v>
      </c>
      <c r="N1" s="33" t="s">
        <v>86</v>
      </c>
      <c r="O1" s="34" t="s">
        <v>87</v>
      </c>
      <c r="Q1" s="33" t="s">
        <v>95</v>
      </c>
    </row>
    <row r="2" spans="1:17" x14ac:dyDescent="0.25">
      <c r="A2" s="50" t="s">
        <v>90</v>
      </c>
      <c r="B2" s="38">
        <v>46070</v>
      </c>
      <c r="C2" s="38" t="s">
        <v>8</v>
      </c>
      <c r="D2" t="str">
        <f>_xlfn.XLOOKUP(B2,'Holidays 2026'!$A$2:$A$27,'Holidays 2026'!$G$2:$G$27,"Regular",0,1)</f>
        <v>Special Working Holiday</v>
      </c>
      <c r="E2" t="s">
        <v>71</v>
      </c>
      <c r="F2" t="str">
        <f>IF(OR(TEXT(B2,"dddd")="Saturday",TEXT(B2,"dddd")="Sunday"),"Yes","No")</f>
        <v>No</v>
      </c>
      <c r="G2" cm="1">
        <f t="array" ref="G2">_xlfn.IFS(OR(E2="Worked",E2="Approved Sick Leave",E2="Approved Vacation Leave",E2="Holiday"),8,E2="","",OR(E2="Absent",E2="Rest Day",E2="Sick Leave Without Pay",E2="Vacation Leave Without Pay"),0)</f>
        <v>8</v>
      </c>
      <c r="H2">
        <v>0</v>
      </c>
      <c r="I2">
        <v>0</v>
      </c>
      <c r="J2">
        <v>2</v>
      </c>
      <c r="K2" s="40" t="str">
        <f t="shared" ref="K2:K33" si="0">IF(E2="Rest Day",0,"7")</f>
        <v>7</v>
      </c>
      <c r="M2" cm="1">
        <f t="array" ref="M2">_xlfn.IFS(
OR(E2="Absent",
   E2="Sick Leave Without Pay",
   E2="Vacation Leave Without Pay",
   E2="Rest Day"), 0,
OR(E2="Approved Sick Leave",
   E2="Approved Vacation Leave"), 1,
D2="Regular Non-Working Holiday",
    IF(E2="Worked",
        IF(F2="Yes",2.6,2),
        1),
D2="Regular Working Holiday",
    IF(E2="Worked",
        IF(F2="Yes",2.6,2),
        1),
D2="Special Non-Working Holiday",
    IF(E2="Worked",
        IF(F2="Yes",1.5,1.3),
        0),
D2="Special Working Holiday",
    1,
D2="Regular",
    IF(F2="Yes",
        IF(E2="Worked",1.3,0),
        IF(E2="Worked",1,0)
    )
)</f>
        <v>1</v>
      </c>
      <c r="N2" cm="1">
        <f t="array" ref="N2">_xlfn.IFS(
F2="No",
    _xlfn.IFS(
        D2="Regular", 1.25,
        OR(D2="Special Working Holiday", D2="Special Non-Working Holiday"), 1.3*1.3,
        OR(D2="Regular Working Holiday", D2="Regular Non-Working Holiday"), 2*1.3
    ),
F2="Yes",
    _xlfn.IFS(
        D2="Regular", 1.3*1.3,
        OR(D2="Special Working Holiday", D2="Special Non-Working Holiday"), 1.5*1.3,
        OR(D2="Regular Working Holiday", D2="Regular Non-Working Holiday"), 2.6*1.3
    )
)</f>
        <v>1.6900000000000002</v>
      </c>
      <c r="O2" s="9">
        <f t="shared" ref="O2:O33" si="1">IF(E2&lt;&gt;"",(G2*HPE*M2)+(N2*HPE*J2)+(K2*ND),"")</f>
        <v>1110.8045977011493</v>
      </c>
      <c r="P2" t="s">
        <v>94</v>
      </c>
      <c r="Q2" t="str" cm="1">
        <f t="array" ref="Q2">IF(P2="Payday",LOOKUP(2,1/((#REF!=#REF!)*(P$2:P2="Cut-off")),#REF!),"")</f>
        <v/>
      </c>
    </row>
    <row r="3" spans="1:17" x14ac:dyDescent="0.25">
      <c r="A3" s="50"/>
      <c r="B3" s="38">
        <v>46071</v>
      </c>
      <c r="C3" s="38" t="s">
        <v>8</v>
      </c>
      <c r="D3" t="str">
        <f>_xlfn.XLOOKUP(B3,'Holidays 2026'!$A$2:$A$27,'Holidays 2026'!$G$2:$G$27,"Regular",0,1)</f>
        <v>Regular</v>
      </c>
      <c r="E3" t="s">
        <v>71</v>
      </c>
      <c r="F3" t="str">
        <f t="shared" ref="F3:F66" si="2">IF(OR(TEXT(B3,"dddd")="Saturday",TEXT(B3,"dddd")="Sunday"),"Yes","No")</f>
        <v>No</v>
      </c>
      <c r="G3" cm="1">
        <f t="array" ref="G3">_xlfn.IFS(OR(E3="Worked",E3="Approved Sick Leave",E3="Approved Vacation Leave",E3="Holiday"),8,E3="","",OR(E3="Absent",E3="Rest Day",E3="Sick Leave Without Pay",E3="Vacation Leave Without Pay"),0)</f>
        <v>8</v>
      </c>
      <c r="H3">
        <v>0</v>
      </c>
      <c r="I3">
        <v>0</v>
      </c>
      <c r="J3">
        <v>0</v>
      </c>
      <c r="K3" s="40" t="str">
        <f t="shared" si="0"/>
        <v>7</v>
      </c>
      <c r="M3" cm="1">
        <f t="array" ref="M3">_xlfn.IFS(
OR(E3="Absent",
   E3="Sick Leave Without Pay",
   E3="Vacation Leave Without Pay",
   E3="Rest Day"), 0,
OR(E3="Approved Sick Leave",
   E3="Approved Vacation Leave"), 1,
D3="Regular Non-Working Holiday",
    IF(E3="Worked",
        IF(F3="Yes",2.6,2),
        1),
D3="Regular Working Holiday",
    IF(E3="Worked",
        IF(F3="Yes",2.6,2),
        1),
D3="Special Non-Working Holiday",
    IF(E3="Worked",
        IF(F3="Yes",1.5,1.3),
        0),
D3="Special Working Holiday",
    1,
D3="Regular",
    IF(F3="Yes",
        IF(E3="Worked",1.3,0),
        IF(E3="Worked",1,0)
    )
)</f>
        <v>1</v>
      </c>
      <c r="N3" cm="1">
        <f t="array" ref="N3">_xlfn.IFS(
F3="No",
    _xlfn.IFS(
        D3="Regular", 1.25,
        OR(D3="Special Working Holiday", D3="Special Non-Working Holiday"), 1.3*1.3,
        OR(D3="Regular Working Holiday", D3="Regular Non-Working Holiday"), 2*1.3
    ),
F3="Yes",
    _xlfn.IFS(
        D3="Regular", 1.3*1.3,
        OR(D3="Special Working Holiday", D3="Special Non-Working Holiday"), 1.5*1.3,
        OR(D3="Regular Working Holiday", D3="Regular Non-Working Holiday"), 2.6*1.3
    )
)</f>
        <v>1.25</v>
      </c>
      <c r="O3" s="9">
        <f t="shared" si="1"/>
        <v>800</v>
      </c>
      <c r="P3" t="str" cm="1">
        <f t="array" ref="P3">_xlfn.IFS(
  OR(DAY(B3)=5, DAY(B3)=20), "Cut-off",
  OR(
     DAY(B3)=15,
     DAY(B3)=DAY(EOMONTH(B3,0))
  ), "Payday",
  TRUE, ""
)</f>
        <v/>
      </c>
    </row>
    <row r="4" spans="1:17" x14ac:dyDescent="0.25">
      <c r="A4" s="50"/>
      <c r="B4" s="38">
        <v>46072</v>
      </c>
      <c r="C4" s="38" t="s">
        <v>8</v>
      </c>
      <c r="D4" t="str">
        <f>_xlfn.XLOOKUP(B4,'Holidays 2026'!$A$2:$A$27,'Holidays 2026'!$G$2:$G$27,"Regular",0,1)</f>
        <v>Regular</v>
      </c>
      <c r="E4" t="s">
        <v>71</v>
      </c>
      <c r="F4" t="str">
        <f t="shared" si="2"/>
        <v>No</v>
      </c>
      <c r="G4" cm="1">
        <f t="array" ref="G4">_xlfn.IFS(OR(E4="Worked",E4="Approved Sick Leave",E4="Approved Vacation Leave",E4="Holiday"),8,E4="","",OR(E4="Absent",E4="Rest Day",E4="Sick Leave Without Pay",E4="Vacation Leave Without Pay"),0)</f>
        <v>8</v>
      </c>
      <c r="H4">
        <v>0</v>
      </c>
      <c r="I4">
        <v>0</v>
      </c>
      <c r="J4">
        <v>0</v>
      </c>
      <c r="K4" s="40" t="str">
        <f t="shared" si="0"/>
        <v>7</v>
      </c>
      <c r="M4" cm="1">
        <f t="array" ref="M4">_xlfn.IFS(
OR(E4="Absent",
   E4="Sick Leave Without Pay",
   E4="Vacation Leave Without Pay",
   E4="Rest Day"), 0,
OR(E4="Approved Sick Leave",
   E4="Approved Vacation Leave"), 1,
D4="Regular Non-Working Holiday",
    IF(E4="Worked",
        IF(F4="Yes",2.6,2),
        1),
D4="Regular Working Holiday",
    IF(E4="Worked",
        IF(F4="Yes",2.6,2),
        1),
D4="Special Non-Working Holiday",
    IF(E4="Worked",
        IF(F4="Yes",1.5,1.3),
        0),
D4="Special Working Holiday",
    1,
D4="Regular",
    IF(F4="Yes",
        IF(E4="Worked",1.3,0),
        IF(E4="Worked",1,0)
    )
)</f>
        <v>1</v>
      </c>
      <c r="N4" cm="1">
        <f t="array" ref="N4">_xlfn.IFS(
F4="No",
    _xlfn.IFS(
        D4="Regular", 1.25,
        OR(D4="Special Working Holiday", D4="Special Non-Working Holiday"), 1.3*1.3,
        OR(D4="Regular Working Holiday", D4="Regular Non-Working Holiday"), 2*1.3
    ),
F4="Yes",
    _xlfn.IFS(
        D4="Regular", 1.3*1.3,
        OR(D4="Special Working Holiday", D4="Special Non-Working Holiday"), 1.5*1.3,
        OR(D4="Regular Working Holiday", D4="Regular Non-Working Holiday"), 2.6*1.3
    )
)</f>
        <v>1.25</v>
      </c>
      <c r="O4" s="9">
        <f t="shared" si="1"/>
        <v>800</v>
      </c>
      <c r="P4" t="str" cm="1">
        <f t="array" ref="P4">_xlfn.IFS(
  OR(DAY(B4)=5, DAY(B4)=20), "Cut-off",
  OR(
     DAY(B4)=15,
     DAY(B4)=DAY(EOMONTH(B4,0))
  ), "Payday",
  TRUE, ""
)</f>
        <v/>
      </c>
    </row>
    <row r="5" spans="1:17" x14ac:dyDescent="0.25">
      <c r="A5" s="50"/>
      <c r="B5" s="38">
        <v>46073</v>
      </c>
      <c r="C5" s="38" t="s">
        <v>8</v>
      </c>
      <c r="D5" t="str">
        <f>_xlfn.XLOOKUP(B5,'Holidays 2026'!$A$2:$A$27,'Holidays 2026'!$G$2:$G$27,"Regular",0,1)</f>
        <v>Regular</v>
      </c>
      <c r="E5" t="s">
        <v>71</v>
      </c>
      <c r="F5" t="str">
        <f t="shared" si="2"/>
        <v>No</v>
      </c>
      <c r="G5" cm="1">
        <f t="array" ref="G5">_xlfn.IFS(OR(E5="Worked",E5="Approved Sick Leave",E5="Approved Vacation Leave",E5="Holiday"),8,E5="","",OR(E5="Absent",E5="Rest Day",E5="Sick Leave Without Pay",E5="Vacation Leave Without Pay"),0)</f>
        <v>8</v>
      </c>
      <c r="H5">
        <v>0</v>
      </c>
      <c r="I5">
        <v>0</v>
      </c>
      <c r="J5">
        <v>0</v>
      </c>
      <c r="K5" s="40" t="str">
        <f t="shared" si="0"/>
        <v>7</v>
      </c>
      <c r="M5" cm="1">
        <f t="array" ref="M5">_xlfn.IFS(
OR(E5="Absent",
   E5="Sick Leave Without Pay",
   E5="Vacation Leave Without Pay",
   E5="Rest Day"), 0,
OR(E5="Approved Sick Leave",
   E5="Approved Vacation Leave"), 1,
D5="Regular Non-Working Holiday",
    IF(E5="Worked",
        IF(F5="Yes",2.6,2),
        1),
D5="Regular Working Holiday",
    IF(E5="Worked",
        IF(F5="Yes",2.6,2),
        1),
D5="Special Non-Working Holiday",
    IF(E5="Worked",
        IF(F5="Yes",1.5,1.3),
        0),
D5="Special Working Holiday",
    1,
D5="Regular",
    IF(F5="Yes",
        IF(E5="Worked",1.3,0),
        IF(E5="Worked",1,0)
    )
)</f>
        <v>1</v>
      </c>
      <c r="N5" cm="1">
        <f t="array" ref="N5">_xlfn.IFS(
F5="No",
    _xlfn.IFS(
        D5="Regular", 1.25,
        OR(D5="Special Working Holiday", D5="Special Non-Working Holiday"), 1.3*1.3,
        OR(D5="Regular Working Holiday", D5="Regular Non-Working Holiday"), 2*1.3
    ),
F5="Yes",
    _xlfn.IFS(
        D5="Regular", 1.3*1.3,
        OR(D5="Special Working Holiday", D5="Special Non-Working Holiday"), 1.5*1.3,
        OR(D5="Regular Working Holiday", D5="Regular Non-Working Holiday"), 2.6*1.3
    )
)</f>
        <v>1.25</v>
      </c>
      <c r="O5" s="9">
        <f t="shared" si="1"/>
        <v>800</v>
      </c>
      <c r="P5" t="str" cm="1">
        <f t="array" ref="P5">_xlfn.IFS(
  OR(DAY(B5)=5, DAY(B5)=20), "Cut-off", OR(DAY(B5)=6, DAY(B5)=21), "Start",
  OR(
     DAY(B5)=15,
     DAY(B5)=30, AND(MONTH(B5)=2,DAY(B5)=DAY(EOMONTH(B5,0)))
  ), "Payday",
  TRUE, ""
)</f>
        <v>Cut-off</v>
      </c>
    </row>
    <row r="6" spans="1:17" x14ac:dyDescent="0.25">
      <c r="A6" s="50"/>
      <c r="B6" s="38">
        <v>46074</v>
      </c>
      <c r="C6" s="38" t="s">
        <v>8</v>
      </c>
      <c r="D6" t="str">
        <f>_xlfn.XLOOKUP(B6,'Holidays 2026'!$A$2:$A$27,'Holidays 2026'!$G$2:$G$27,"Regular",0,1)</f>
        <v>Regular</v>
      </c>
      <c r="E6" t="s">
        <v>82</v>
      </c>
      <c r="F6" t="str">
        <f t="shared" si="2"/>
        <v>Yes</v>
      </c>
      <c r="G6" cm="1">
        <f t="array" ref="G6">_xlfn.IFS(OR(E6="Worked",E6="Approved Sick Leave",E6="Approved Vacation Leave",E6="Holiday"),8,E6="","",OR(E6="Absent",E6="Rest Day",E6="Sick Leave Without Pay",E6="Vacation Leave Without Pay"),0)</f>
        <v>0</v>
      </c>
      <c r="H6">
        <v>0</v>
      </c>
      <c r="I6">
        <v>0</v>
      </c>
      <c r="J6">
        <v>0</v>
      </c>
      <c r="K6" s="40">
        <f t="shared" si="0"/>
        <v>0</v>
      </c>
      <c r="M6" cm="1">
        <f t="array" ref="M6">_xlfn.IFS(
OR(E6="Absent",
   E6="Sick Leave Without Pay",
   E6="Vacation Leave Without Pay",
   E6="Rest Day"), 0,
OR(E6="Approved Sick Leave",
   E6="Approved Vacation Leave"), 1,
D6="Regular Non-Working Holiday",
    IF(E6="Worked",
        IF(F6="Yes",2.6,2),
        1),
D6="Regular Working Holiday",
    IF(E6="Worked",
        IF(F6="Yes",2.6,2),
        1),
D6="Special Non-Working Holiday",
    IF(E6="Worked",
        IF(F6="Yes",1.5,1.3),
        0),
D6="Special Working Holiday",
    1,
D6="Regular",
    IF(F6="Yes",
        IF(E6="Worked",1.3,0),
        IF(E6="Worked",1,0)
    )
)</f>
        <v>0</v>
      </c>
      <c r="N6" cm="1">
        <f t="array" ref="N6">_xlfn.IFS(
F6="No",
    _xlfn.IFS(
        D6="Regular", 1.25,
        OR(D6="Special Working Holiday", D6="Special Non-Working Holiday"), 1.3*1.3,
        OR(D6="Regular Working Holiday", D6="Regular Non-Working Holiday"), 2*1.3
    ),
F6="Yes",
    _xlfn.IFS(
        D6="Regular", 1.3*1.3,
        OR(D6="Special Working Holiday", D6="Special Non-Working Holiday"), 1.5*1.3,
        OR(D6="Regular Working Holiday", D6="Regular Non-Working Holiday"), 2.6*1.3
    )
)</f>
        <v>1.6900000000000002</v>
      </c>
      <c r="O6" s="9">
        <f t="shared" si="1"/>
        <v>0</v>
      </c>
      <c r="P6" t="str" cm="1">
        <f t="array" ref="P6">_xlfn.IFS(
  OR(DAY(B6)=5, DAY(B6)=20), "Cut-off", OR(DAY(B6)=6, DAY(B6)=21), "Start",
  OR(
     DAY(B6)=15,
     DAY(B6)=30, AND(MONTH(B6)=2,DAY(B6)=DAY(EOMONTH(B6,0)))
  ), "Payday",
  TRUE, ""
)</f>
        <v>Start</v>
      </c>
    </row>
    <row r="7" spans="1:17" x14ac:dyDescent="0.25">
      <c r="A7" s="50"/>
      <c r="B7" s="38">
        <v>46075</v>
      </c>
      <c r="C7" s="38" t="s">
        <v>8</v>
      </c>
      <c r="D7" t="str">
        <f>_xlfn.XLOOKUP(B7,'Holidays 2026'!$A$2:$A$27,'Holidays 2026'!$G$2:$G$27,"Regular",0,1)</f>
        <v>Regular</v>
      </c>
      <c r="E7" t="s">
        <v>82</v>
      </c>
      <c r="F7" t="str">
        <f t="shared" si="2"/>
        <v>Yes</v>
      </c>
      <c r="G7" cm="1">
        <f t="array" ref="G7">_xlfn.IFS(OR(E7="Worked",E7="Approved Sick Leave",E7="Approved Vacation Leave",E7="Holiday"),8,E7="","",OR(E7="Absent",E7="Rest Day",E7="Sick Leave Without Pay",E7="Vacation Leave Without Pay"),0)</f>
        <v>0</v>
      </c>
      <c r="H7">
        <v>0</v>
      </c>
      <c r="I7">
        <v>0</v>
      </c>
      <c r="J7">
        <v>0</v>
      </c>
      <c r="K7" s="40">
        <f t="shared" si="0"/>
        <v>0</v>
      </c>
      <c r="M7" cm="1">
        <f t="array" ref="M7">_xlfn.IFS(
OR(E7="Absent",
   E7="Sick Leave Without Pay",
   E7="Vacation Leave Without Pay",
   E7="Rest Day"), 0,
OR(E7="Approved Sick Leave",
   E7="Approved Vacation Leave"), 1,
D7="Regular Non-Working Holiday",
    IF(E7="Worked",
        IF(F7="Yes",2.6,2),
        1),
D7="Regular Working Holiday",
    IF(E7="Worked",
        IF(F7="Yes",2.6,2),
        1),
D7="Special Non-Working Holiday",
    IF(E7="Worked",
        IF(F7="Yes",1.5,1.3),
        0),
D7="Special Working Holiday",
    1,
D7="Regular",
    IF(F7="Yes",
        IF(E7="Worked",1.3,0),
        IF(E7="Worked",1,0)
    )
)</f>
        <v>0</v>
      </c>
      <c r="N7" cm="1">
        <f t="array" ref="N7">_xlfn.IFS(
F7="No",
    _xlfn.IFS(
        D7="Regular", 1.25,
        OR(D7="Special Working Holiday", D7="Special Non-Working Holiday"), 1.3*1.3,
        OR(D7="Regular Working Holiday", D7="Regular Non-Working Holiday"), 2*1.3
    ),
F7="Yes",
    _xlfn.IFS(
        D7="Regular", 1.3*1.3,
        OR(D7="Special Working Holiday", D7="Special Non-Working Holiday"), 1.5*1.3,
        OR(D7="Regular Working Holiday", D7="Regular Non-Working Holiday"), 2.6*1.3
    )
)</f>
        <v>1.6900000000000002</v>
      </c>
      <c r="O7" s="9">
        <f t="shared" si="1"/>
        <v>0</v>
      </c>
      <c r="P7" t="str" cm="1">
        <f t="array" ref="P7">_xlfn.IFS(
  OR(DAY(B7)=5, DAY(B7)=20), "Cut-off", OR(DAY(B7)=6, DAY(B7)=21), "Start",
  OR(
     DAY(B7)=15,
     DAY(B7)=30, AND(MONTH(B7)=2,DAY(B7)=DAY(EOMONTH(B7,0)))
  ), "Payday",
  TRUE, ""
)</f>
        <v/>
      </c>
    </row>
    <row r="8" spans="1:17" x14ac:dyDescent="0.25">
      <c r="A8" s="50"/>
      <c r="B8" s="38">
        <v>46076</v>
      </c>
      <c r="C8" s="38" t="s">
        <v>8</v>
      </c>
      <c r="D8" t="str">
        <f>_xlfn.XLOOKUP(B8,'Holidays 2026'!$A$2:$A$27,'Holidays 2026'!$G$2:$G$27,"Regular",0,1)</f>
        <v>Regular</v>
      </c>
      <c r="E8" t="s">
        <v>71</v>
      </c>
      <c r="F8" t="str">
        <f t="shared" si="2"/>
        <v>No</v>
      </c>
      <c r="G8" cm="1">
        <f t="array" ref="G8">_xlfn.IFS(OR(E8="Worked",E8="Approved Sick Leave",E8="Approved Vacation Leave",E8="Holiday"),8,E8="","",OR(E8="Absent",E8="Rest Day",E8="Sick Leave Without Pay",E8="Vacation Leave Without Pay"),0)</f>
        <v>8</v>
      </c>
      <c r="H8">
        <v>0</v>
      </c>
      <c r="I8">
        <v>0</v>
      </c>
      <c r="J8">
        <v>0</v>
      </c>
      <c r="K8" s="40" t="str">
        <f t="shared" si="0"/>
        <v>7</v>
      </c>
      <c r="M8" cm="1">
        <f t="array" ref="M8">_xlfn.IFS(
OR(E8="Absent",
   E8="Sick Leave Without Pay",
   E8="Vacation Leave Without Pay",
   E8="Rest Day"), 0,
OR(E8="Approved Sick Leave",
   E8="Approved Vacation Leave"), 1,
D8="Regular Non-Working Holiday",
    IF(E8="Worked",
        IF(F8="Yes",2.6,2),
        1),
D8="Regular Working Holiday",
    IF(E8="Worked",
        IF(F8="Yes",2.6,2),
        1),
D8="Special Non-Working Holiday",
    IF(E8="Worked",
        IF(F8="Yes",1.5,1.3),
        0),
D8="Special Working Holiday",
    1,
D8="Regular",
    IF(F8="Yes",
        IF(E8="Worked",1.3,0),
        IF(E8="Worked",1,0)
    )
)</f>
        <v>1</v>
      </c>
      <c r="N8" cm="1">
        <f t="array" ref="N8">_xlfn.IFS(
F8="No",
    _xlfn.IFS(
        D8="Regular", 1.25,
        OR(D8="Special Working Holiday", D8="Special Non-Working Holiday"), 1.3*1.3,
        OR(D8="Regular Working Holiday", D8="Regular Non-Working Holiday"), 2*1.3
    ),
F8="Yes",
    _xlfn.IFS(
        D8="Regular", 1.3*1.3,
        OR(D8="Special Working Holiday", D8="Special Non-Working Holiday"), 1.5*1.3,
        OR(D8="Regular Working Holiday", D8="Regular Non-Working Holiday"), 2.6*1.3
    )
)</f>
        <v>1.25</v>
      </c>
      <c r="O8" s="9">
        <f t="shared" si="1"/>
        <v>800</v>
      </c>
      <c r="P8" t="str" cm="1">
        <f t="array" ref="P8">_xlfn.IFS(
  OR(DAY(B8)=5, DAY(B8)=20), "Cut-off", OR(DAY(B8)=6, DAY(B8)=21), "Start",
  OR(
     DAY(B8)=15,
     DAY(B8)=30, AND(MONTH(B8)=2,DAY(B8)=DAY(EOMONTH(B8,0)))
  ), "Payday",
  TRUE, ""
)</f>
        <v/>
      </c>
    </row>
    <row r="9" spans="1:17" x14ac:dyDescent="0.25">
      <c r="A9" s="50"/>
      <c r="B9" s="38">
        <v>46077</v>
      </c>
      <c r="C9" s="38" t="s">
        <v>8</v>
      </c>
      <c r="D9" t="str">
        <f>_xlfn.XLOOKUP(B9,'Holidays 2026'!$A$2:$A$27,'Holidays 2026'!$G$2:$G$27,"Regular",0,1)</f>
        <v>Regular</v>
      </c>
      <c r="E9" t="s">
        <v>71</v>
      </c>
      <c r="F9" t="str">
        <f t="shared" si="2"/>
        <v>No</v>
      </c>
      <c r="G9" cm="1">
        <f t="array" ref="G9">_xlfn.IFS(OR(E9="Worked",E9="Approved Sick Leave",E9="Approved Vacation Leave",E9="Holiday"),8,E9="","",OR(E9="Absent",E9="Rest Day",E9="Sick Leave Without Pay",E9="Vacation Leave Without Pay"),0)</f>
        <v>8</v>
      </c>
      <c r="H9">
        <v>0</v>
      </c>
      <c r="I9">
        <v>0</v>
      </c>
      <c r="J9">
        <v>0</v>
      </c>
      <c r="K9" s="40" t="str">
        <f t="shared" si="0"/>
        <v>7</v>
      </c>
      <c r="M9" cm="1">
        <f t="array" ref="M9">_xlfn.IFS(
OR(E9="Absent",
   E9="Sick Leave Without Pay",
   E9="Vacation Leave Without Pay",
   E9="Rest Day"), 0,
OR(E9="Approved Sick Leave",
   E9="Approved Vacation Leave"), 1,
D9="Regular Non-Working Holiday",
    IF(E9="Worked",
        IF(F9="Yes",2.6,2),
        1),
D9="Regular Working Holiday",
    IF(E9="Worked",
        IF(F9="Yes",2.6,2),
        1),
D9="Special Non-Working Holiday",
    IF(E9="Worked",
        IF(F9="Yes",1.5,1.3),
        0),
D9="Special Working Holiday",
    1,
D9="Regular",
    IF(F9="Yes",
        IF(E9="Worked",1.3,0),
        IF(E9="Worked",1,0)
    )
)</f>
        <v>1</v>
      </c>
      <c r="N9" cm="1">
        <f t="array" ref="N9">_xlfn.IFS(
F9="No",
    _xlfn.IFS(
        D9="Regular", 1.25,
        OR(D9="Special Working Holiday", D9="Special Non-Working Holiday"), 1.3*1.3,
        OR(D9="Regular Working Holiday", D9="Regular Non-Working Holiday"), 2*1.3
    ),
F9="Yes",
    _xlfn.IFS(
        D9="Regular", 1.3*1.3,
        OR(D9="Special Working Holiday", D9="Special Non-Working Holiday"), 1.5*1.3,
        OR(D9="Regular Working Holiday", D9="Regular Non-Working Holiday"), 2.6*1.3
    )
)</f>
        <v>1.25</v>
      </c>
      <c r="O9" s="9">
        <f t="shared" si="1"/>
        <v>800</v>
      </c>
      <c r="P9" t="str" cm="1">
        <f t="array" ref="P9">_xlfn.IFS(
  OR(DAY(B9)=5, DAY(B9)=20), "Cut-off", OR(DAY(B9)=6, DAY(B9)=21), "Start",
  OR(
     DAY(B9)=15,
     DAY(B9)=30, AND(MONTH(B9)=2,DAY(B9)=DAY(EOMONTH(B9,0)))
  ), "Payday",
  TRUE, ""
)</f>
        <v/>
      </c>
    </row>
    <row r="10" spans="1:17" x14ac:dyDescent="0.25">
      <c r="A10" s="50"/>
      <c r="B10" s="38">
        <v>46078</v>
      </c>
      <c r="C10" s="38" t="s">
        <v>8</v>
      </c>
      <c r="D10" t="str">
        <f>_xlfn.XLOOKUP(B10,'Holidays 2026'!$A$2:$A$27,'Holidays 2026'!$G$2:$G$27,"Regular",0,1)</f>
        <v>Regular</v>
      </c>
      <c r="E10" t="s">
        <v>71</v>
      </c>
      <c r="F10" t="str">
        <f t="shared" si="2"/>
        <v>No</v>
      </c>
      <c r="G10" cm="1">
        <f t="array" ref="G10">_xlfn.IFS(OR(E10="Worked",E10="Approved Sick Leave",E10="Approved Vacation Leave",E10="Holiday"),8,E10="","",OR(E10="Absent",E10="Rest Day",E10="Sick Leave Without Pay",E10="Vacation Leave Without Pay"),0)</f>
        <v>8</v>
      </c>
      <c r="H10">
        <v>0</v>
      </c>
      <c r="I10">
        <v>0</v>
      </c>
      <c r="J10">
        <v>0</v>
      </c>
      <c r="K10" s="40" t="str">
        <f t="shared" si="0"/>
        <v>7</v>
      </c>
      <c r="M10" cm="1">
        <f t="array" ref="M10">_xlfn.IFS(
OR(E10="Absent",
   E10="Sick Leave Without Pay",
   E10="Vacation Leave Without Pay",
   E10="Rest Day"), 0,
OR(E10="Approved Sick Leave",
   E10="Approved Vacation Leave"), 1,
D10="Regular Non-Working Holiday",
    IF(E10="Worked",
        IF(F10="Yes",2.6,2),
        1),
D10="Regular Working Holiday",
    IF(E10="Worked",
        IF(F10="Yes",2.6,2),
        1),
D10="Special Non-Working Holiday",
    IF(E10="Worked",
        IF(F10="Yes",1.5,1.3),
        0),
D10="Special Working Holiday",
    1,
D10="Regular",
    IF(F10="Yes",
        IF(E10="Worked",1.3,0),
        IF(E10="Worked",1,0)
    )
)</f>
        <v>1</v>
      </c>
      <c r="N10" cm="1">
        <f t="array" ref="N10">_xlfn.IFS(
F10="No",
    _xlfn.IFS(
        D10="Regular", 1.25,
        OR(D10="Special Working Holiday", D10="Special Non-Working Holiday"), 1.3*1.3,
        OR(D10="Regular Working Holiday", D10="Regular Non-Working Holiday"), 2*1.3
    ),
F10="Yes",
    _xlfn.IFS(
        D10="Regular", 1.3*1.3,
        OR(D10="Special Working Holiday", D10="Special Non-Working Holiday"), 1.5*1.3,
        OR(D10="Regular Working Holiday", D10="Regular Non-Working Holiday"), 2.6*1.3
    )
)</f>
        <v>1.25</v>
      </c>
      <c r="O10" s="9">
        <f t="shared" si="1"/>
        <v>800</v>
      </c>
      <c r="P10" t="str" cm="1">
        <f t="array" ref="P10">_xlfn.IFS(
  OR(DAY(B10)=5, DAY(B10)=20), "Cut-off", OR(DAY(B10)=6, DAY(B10)=21), "Start",
  OR(
     DAY(B10)=15,
     DAY(B10)=30, AND(MONTH(B10)=2,DAY(B10)=DAY(EOMONTH(B10,0)))
  ), "Payday",
  TRUE, ""
)</f>
        <v/>
      </c>
    </row>
    <row r="11" spans="1:17" x14ac:dyDescent="0.25">
      <c r="A11" s="50"/>
      <c r="B11" s="38">
        <v>46079</v>
      </c>
      <c r="C11" s="38" t="s">
        <v>8</v>
      </c>
      <c r="D11" t="str">
        <f>_xlfn.XLOOKUP(B11,'Holidays 2026'!$A$2:$A$27,'Holidays 2026'!$G$2:$G$27,"Regular",0,1)</f>
        <v>Regular</v>
      </c>
      <c r="E11" t="s">
        <v>71</v>
      </c>
      <c r="F11" t="str">
        <f t="shared" si="2"/>
        <v>No</v>
      </c>
      <c r="G11" cm="1">
        <f t="array" ref="G11">_xlfn.IFS(OR(E11="Worked",E11="Approved Sick Leave",E11="Approved Vacation Leave",E11="Holiday"),8,E11="","",OR(E11="Absent",E11="Rest Day",E11="Sick Leave Without Pay",E11="Vacation Leave Without Pay"),0)</f>
        <v>8</v>
      </c>
      <c r="H11">
        <v>0</v>
      </c>
      <c r="I11">
        <v>0</v>
      </c>
      <c r="J11">
        <v>0</v>
      </c>
      <c r="K11" s="40" t="str">
        <f t="shared" si="0"/>
        <v>7</v>
      </c>
      <c r="M11" cm="1">
        <f t="array" ref="M11">_xlfn.IFS(
OR(E11="Absent",
   E11="Sick Leave Without Pay",
   E11="Vacation Leave Without Pay",
   E11="Rest Day"), 0,
OR(E11="Approved Sick Leave",
   E11="Approved Vacation Leave"), 1,
D11="Regular Non-Working Holiday",
    IF(E11="Worked",
        IF(F11="Yes",2.6,2),
        1),
D11="Regular Working Holiday",
    IF(E11="Worked",
        IF(F11="Yes",2.6,2),
        1),
D11="Special Non-Working Holiday",
    IF(E11="Worked",
        IF(F11="Yes",1.5,1.3),
        0),
D11="Special Working Holiday",
    1,
D11="Regular",
    IF(F11="Yes",
        IF(E11="Worked",1.3,0),
        IF(E11="Worked",1,0)
    )
)</f>
        <v>1</v>
      </c>
      <c r="N11" cm="1">
        <f t="array" ref="N11">_xlfn.IFS(
F11="No",
    _xlfn.IFS(
        D11="Regular", 1.25,
        OR(D11="Special Working Holiday", D11="Special Non-Working Holiday"), 1.3*1.3,
        OR(D11="Regular Working Holiday", D11="Regular Non-Working Holiday"), 2*1.3
    ),
F11="Yes",
    _xlfn.IFS(
        D11="Regular", 1.3*1.3,
        OR(D11="Special Working Holiday", D11="Special Non-Working Holiday"), 1.5*1.3,
        OR(D11="Regular Working Holiday", D11="Regular Non-Working Holiday"), 2.6*1.3
    )
)</f>
        <v>1.25</v>
      </c>
      <c r="O11" s="9">
        <f t="shared" si="1"/>
        <v>800</v>
      </c>
      <c r="P11" t="str" cm="1">
        <f t="array" ref="P11">_xlfn.IFS(
  OR(DAY(B11)=5, DAY(B11)=20), "Cut-off", OR(DAY(B11)=6, DAY(B11)=21), "Start",
  OR(
     DAY(B11)=15,
     DAY(B11)=30, AND(MONTH(B11)=2,DAY(B11)=DAY(EOMONTH(B11,0)))
  ), "Payday",
  TRUE, ""
)</f>
        <v/>
      </c>
    </row>
    <row r="12" spans="1:17" x14ac:dyDescent="0.25">
      <c r="A12" s="50"/>
      <c r="B12" s="38">
        <v>46080</v>
      </c>
      <c r="C12" s="38" t="s">
        <v>8</v>
      </c>
      <c r="D12" t="str">
        <f>_xlfn.XLOOKUP(B12,'Holidays 2026'!$A$2:$A$27,'Holidays 2026'!$G$2:$G$27,"Regular",0,1)</f>
        <v>Regular</v>
      </c>
      <c r="E12" t="s">
        <v>71</v>
      </c>
      <c r="F12" t="str">
        <f t="shared" si="2"/>
        <v>No</v>
      </c>
      <c r="G12" cm="1">
        <f t="array" ref="G12">_xlfn.IFS(OR(E12="Worked",E12="Approved Sick Leave",E12="Approved Vacation Leave",E12="Holiday"),8,E12="","",OR(E12="Absent",E12="Rest Day",E12="Sick Leave Without Pay",E12="Vacation Leave Without Pay"),0)</f>
        <v>8</v>
      </c>
      <c r="H12">
        <v>0</v>
      </c>
      <c r="I12">
        <v>0</v>
      </c>
      <c r="J12">
        <v>0</v>
      </c>
      <c r="K12" s="40" t="str">
        <f t="shared" si="0"/>
        <v>7</v>
      </c>
      <c r="M12" cm="1">
        <f t="array" ref="M12">_xlfn.IFS(
OR(E12="Absent",
   E12="Sick Leave Without Pay",
   E12="Vacation Leave Without Pay",
   E12="Rest Day"), 0,
OR(E12="Approved Sick Leave",
   E12="Approved Vacation Leave"), 1,
D12="Regular Non-Working Holiday",
    IF(E12="Worked",
        IF(F12="Yes",2.6,2),
        1),
D12="Regular Working Holiday",
    IF(E12="Worked",
        IF(F12="Yes",2.6,2),
        1),
D12="Special Non-Working Holiday",
    IF(E12="Worked",
        IF(F12="Yes",1.5,1.3),
        0),
D12="Special Working Holiday",
    1,
D12="Regular",
    IF(F12="Yes",
        IF(E12="Worked",1.3,0),
        IF(E12="Worked",1,0)
    )
)</f>
        <v>1</v>
      </c>
      <c r="N12" cm="1">
        <f t="array" ref="N12">_xlfn.IFS(
F12="No",
    _xlfn.IFS(
        D12="Regular", 1.25,
        OR(D12="Special Working Holiday", D12="Special Non-Working Holiday"), 1.3*1.3,
        OR(D12="Regular Working Holiday", D12="Regular Non-Working Holiday"), 2*1.3
    ),
F12="Yes",
    _xlfn.IFS(
        D12="Regular", 1.3*1.3,
        OR(D12="Special Working Holiday", D12="Special Non-Working Holiday"), 1.5*1.3,
        OR(D12="Regular Working Holiday", D12="Regular Non-Working Holiday"), 2.6*1.3
    )
)</f>
        <v>1.25</v>
      </c>
      <c r="O12" s="9">
        <f t="shared" si="1"/>
        <v>800</v>
      </c>
      <c r="P12" t="str" cm="1">
        <f t="array" ref="P12">_xlfn.IFS(
  OR(DAY(B12)=5, DAY(B12)=20), "Cut-off", OR(DAY(B12)=6, DAY(B12)=21), "Start",
  OR(
     DAY(B12)=15,
     DAY(B12)=30, AND(MONTH(B12)=2,DAY(B12)=DAY(EOMONTH(B12,0)))
  ), "Payday",
  TRUE, ""
)</f>
        <v/>
      </c>
    </row>
    <row r="13" spans="1:17" x14ac:dyDescent="0.25">
      <c r="A13" s="50"/>
      <c r="B13" s="38">
        <v>46081</v>
      </c>
      <c r="C13" s="38" t="s">
        <v>8</v>
      </c>
      <c r="D13" t="str">
        <f>_xlfn.XLOOKUP(B13,'Holidays 2026'!$A$2:$A$27,'Holidays 2026'!$G$2:$G$27,"Regular",0,1)</f>
        <v>Regular</v>
      </c>
      <c r="E13" t="s">
        <v>82</v>
      </c>
      <c r="F13" t="str">
        <f t="shared" si="2"/>
        <v>Yes</v>
      </c>
      <c r="G13" cm="1">
        <f t="array" ref="G13">_xlfn.IFS(OR(E13="Worked",E13="Approved Sick Leave",E13="Approved Vacation Leave",E13="Holiday"),8,E13="","",OR(E13="Absent",E13="Rest Day",E13="Sick Leave Without Pay",E13="Vacation Leave Without Pay"),0)</f>
        <v>0</v>
      </c>
      <c r="H13">
        <v>0</v>
      </c>
      <c r="I13">
        <v>0</v>
      </c>
      <c r="J13">
        <v>0</v>
      </c>
      <c r="K13" s="40">
        <f t="shared" si="0"/>
        <v>0</v>
      </c>
      <c r="M13" cm="1">
        <f t="array" ref="M13">_xlfn.IFS(
OR(E13="Absent",
   E13="Sick Leave Without Pay",
   E13="Vacation Leave Without Pay",
   E13="Rest Day"), 0,
OR(E13="Approved Sick Leave",
   E13="Approved Vacation Leave"), 1,
D13="Regular Non-Working Holiday",
    IF(E13="Worked",
        IF(F13="Yes",2.6,2),
        1),
D13="Regular Working Holiday",
    IF(E13="Worked",
        IF(F13="Yes",2.6,2),
        1),
D13="Special Non-Working Holiday",
    IF(E13="Worked",
        IF(F13="Yes",1.5,1.3),
        0),
D13="Special Working Holiday",
    1,
D13="Regular",
    IF(F13="Yes",
        IF(E13="Worked",1.3,0),
        IF(E13="Worked",1,0)
    )
)</f>
        <v>0</v>
      </c>
      <c r="N13" cm="1">
        <f t="array" ref="N13">_xlfn.IFS(
F13="No",
    _xlfn.IFS(
        D13="Regular", 1.25,
        OR(D13="Special Working Holiday", D13="Special Non-Working Holiday"), 1.3*1.3,
        OR(D13="Regular Working Holiday", D13="Regular Non-Working Holiday"), 2*1.3
    ),
F13="Yes",
    _xlfn.IFS(
        D13="Regular", 1.3*1.3,
        OR(D13="Special Working Holiday", D13="Special Non-Working Holiday"), 1.5*1.3,
        OR(D13="Regular Working Holiday", D13="Regular Non-Working Holiday"), 2.6*1.3
    )
)</f>
        <v>1.6900000000000002</v>
      </c>
      <c r="O13" s="9">
        <f t="shared" si="1"/>
        <v>0</v>
      </c>
      <c r="P13" t="str" cm="1">
        <f t="array" ref="P13">_xlfn.IFS(
  OR(DAY(B13)=5, DAY(B13)=20), "Cut-off", OR(DAY(B13)=6, DAY(B13)=21), "Start",
  OR(
     DAY(B13)=15,
     DAY(B13)=30, AND(MONTH(B13)=2,DAY(B13)=DAY(EOMONTH(B13,0)))
  ), "Payday",
  TRUE, ""
)</f>
        <v>Payday</v>
      </c>
      <c r="Q13" s="9">
        <f>SUM(O2:O5)</f>
        <v>3510.8045977011493</v>
      </c>
    </row>
    <row r="14" spans="1:17" x14ac:dyDescent="0.25">
      <c r="A14" s="50" t="s">
        <v>91</v>
      </c>
      <c r="B14" s="38">
        <v>46082</v>
      </c>
      <c r="C14" s="38" t="s">
        <v>9</v>
      </c>
      <c r="D14" t="str">
        <f>_xlfn.XLOOKUP(B14,'Holidays 2026'!$A$2:$A$27,'Holidays 2026'!$G$2:$G$27,"Regular",0,1)</f>
        <v>Regular</v>
      </c>
      <c r="E14" t="s">
        <v>82</v>
      </c>
      <c r="F14" t="str">
        <f t="shared" si="2"/>
        <v>Yes</v>
      </c>
      <c r="G14" cm="1">
        <f t="array" ref="G14">_xlfn.IFS(OR(E14="Worked",E14="Approved Sick Leave",E14="Approved Vacation Leave",E14="Holiday"),8,E14="","",OR(E14="Absent",E14="Rest Day",E14="Sick Leave Without Pay",E14="Vacation Leave Without Pay"),0)</f>
        <v>0</v>
      </c>
      <c r="H14">
        <v>0</v>
      </c>
      <c r="I14">
        <v>0</v>
      </c>
      <c r="J14">
        <v>0</v>
      </c>
      <c r="K14" s="40">
        <f t="shared" si="0"/>
        <v>0</v>
      </c>
      <c r="M14" cm="1">
        <f t="array" ref="M14">_xlfn.IFS(
OR(E14="Absent",
   E14="Sick Leave Without Pay",
   E14="Vacation Leave Without Pay",
   E14="Rest Day"), 0,
OR(E14="Approved Sick Leave",
   E14="Approved Vacation Leave"), 1,
D14="Regular Non-Working Holiday",
    IF(E14="Worked",
        IF(F14="Yes",2.6,2),
        1),
D14="Regular Working Holiday",
    IF(E14="Worked",
        IF(F14="Yes",2.6,2),
        1),
D14="Special Non-Working Holiday",
    IF(E14="Worked",
        IF(F14="Yes",1.5,1.3),
        0),
D14="Special Working Holiday",
    1,
D14="Regular",
    IF(F14="Yes",
        IF(E14="Worked",1.3,0),
        IF(E14="Worked",1,0)
    )
)</f>
        <v>0</v>
      </c>
      <c r="N14" cm="1">
        <f t="array" ref="N14">_xlfn.IFS(
F14="No",
    _xlfn.IFS(
        D14="Regular", 1.25,
        OR(D14="Special Working Holiday", D14="Special Non-Working Holiday"), 1.3*1.3,
        OR(D14="Regular Working Holiday", D14="Regular Non-Working Holiday"), 2*1.3
    ),
F14="Yes",
    _xlfn.IFS(
        D14="Regular", 1.3*1.3,
        OR(D14="Special Working Holiday", D14="Special Non-Working Holiday"), 1.5*1.3,
        OR(D14="Regular Working Holiday", D14="Regular Non-Working Holiday"), 2.6*1.3
    )
)</f>
        <v>1.6900000000000002</v>
      </c>
      <c r="O14" s="9">
        <f t="shared" si="1"/>
        <v>0</v>
      </c>
      <c r="P14" t="str" cm="1">
        <f t="array" ref="P14">_xlfn.IFS(
  OR(DAY(B14)=5, DAY(B14)=20), "Cut-off", OR(DAY(B14)=6, DAY(B14)=21), "Start",
  OR(
     DAY(B14)=15,
     DAY(B14)=30, AND(MONTH(B14)=2,DAY(B14)=DAY(EOMONTH(B14,0)))
  ), "Payday",
  TRUE, ""
)</f>
        <v/>
      </c>
    </row>
    <row r="15" spans="1:17" x14ac:dyDescent="0.25">
      <c r="A15" s="50"/>
      <c r="B15" s="38">
        <v>46083</v>
      </c>
      <c r="C15" s="38" t="s">
        <v>9</v>
      </c>
      <c r="D15" t="str">
        <f>_xlfn.XLOOKUP(B15,'Holidays 2026'!$A$2:$A$27,'Holidays 2026'!$G$2:$G$27,"Regular",0,1)</f>
        <v>Regular</v>
      </c>
      <c r="E15" t="s">
        <v>71</v>
      </c>
      <c r="F15" t="str">
        <f t="shared" si="2"/>
        <v>No</v>
      </c>
      <c r="G15" cm="1">
        <f t="array" ref="G15">_xlfn.IFS(OR(E15="Worked",E15="Approved Sick Leave",E15="Approved Vacation Leave",E15="Holiday"),8,E15="","",OR(E15="Absent",E15="Rest Day",E15="Sick Leave Without Pay",E15="Vacation Leave Without Pay"),0)</f>
        <v>8</v>
      </c>
      <c r="H15">
        <v>0</v>
      </c>
      <c r="I15">
        <v>0</v>
      </c>
      <c r="J15">
        <v>0</v>
      </c>
      <c r="K15" s="40" t="str">
        <f t="shared" si="0"/>
        <v>7</v>
      </c>
      <c r="M15" cm="1">
        <f t="array" ref="M15">_xlfn.IFS(
OR(E15="Absent",
   E15="Sick Leave Without Pay",
   E15="Vacation Leave Without Pay",
   E15="Rest Day"), 0,
OR(E15="Approved Sick Leave",
   E15="Approved Vacation Leave"), 1,
D15="Regular Non-Working Holiday",
    IF(E15="Worked",
        IF(F15="Yes",2.6,2),
        1),
D15="Regular Working Holiday",
    IF(E15="Worked",
        IF(F15="Yes",2.6,2),
        1),
D15="Special Non-Working Holiday",
    IF(E15="Worked",
        IF(F15="Yes",1.5,1.3),
        0),
D15="Special Working Holiday",
    1,
D15="Regular",
    IF(F15="Yes",
        IF(E15="Worked",1.3,0),
        IF(E15="Worked",1,0)
    )
)</f>
        <v>1</v>
      </c>
      <c r="N15" cm="1">
        <f t="array" ref="N15">_xlfn.IFS(
F15="No",
    _xlfn.IFS(
        D15="Regular", 1.25,
        OR(D15="Special Working Holiday", D15="Special Non-Working Holiday"), 1.3*1.3,
        OR(D15="Regular Working Holiday", D15="Regular Non-Working Holiday"), 2*1.3
    ),
F15="Yes",
    _xlfn.IFS(
        D15="Regular", 1.3*1.3,
        OR(D15="Special Working Holiday", D15="Special Non-Working Holiday"), 1.5*1.3,
        OR(D15="Regular Working Holiday", D15="Regular Non-Working Holiday"), 2.6*1.3
    )
)</f>
        <v>1.25</v>
      </c>
      <c r="O15" s="9">
        <f t="shared" si="1"/>
        <v>800</v>
      </c>
      <c r="P15" t="str" cm="1">
        <f t="array" ref="P15">_xlfn.IFS(
  OR(DAY(B15)=5, DAY(B15)=20), "Cut-off", OR(DAY(B15)=6, DAY(B15)=21), "Start",
  OR(
     DAY(B15)=15,
     DAY(B15)=30, AND(MONTH(B15)=2,DAY(B15)=DAY(EOMONTH(B15,0)))
  ), "Payday",
  TRUE, ""
)</f>
        <v/>
      </c>
    </row>
    <row r="16" spans="1:17" x14ac:dyDescent="0.25">
      <c r="A16" s="50"/>
      <c r="B16" s="38">
        <v>46084</v>
      </c>
      <c r="C16" s="38" t="s">
        <v>9</v>
      </c>
      <c r="D16" t="str">
        <f>_xlfn.XLOOKUP(B16,'Holidays 2026'!$A$2:$A$27,'Holidays 2026'!$G$2:$G$27,"Regular",0,1)</f>
        <v>Regular</v>
      </c>
      <c r="E16" t="s">
        <v>71</v>
      </c>
      <c r="F16" t="str">
        <f t="shared" si="2"/>
        <v>No</v>
      </c>
      <c r="G16" cm="1">
        <f t="array" ref="G16">_xlfn.IFS(OR(E16="Worked",E16="Approved Sick Leave",E16="Approved Vacation Leave",E16="Holiday"),8,E16="","",OR(E16="Absent",E16="Rest Day",E16="Sick Leave Without Pay",E16="Vacation Leave Without Pay"),0)</f>
        <v>8</v>
      </c>
      <c r="H16">
        <v>0</v>
      </c>
      <c r="I16">
        <v>0</v>
      </c>
      <c r="J16">
        <v>0</v>
      </c>
      <c r="K16" s="40" t="str">
        <f t="shared" si="0"/>
        <v>7</v>
      </c>
      <c r="M16" cm="1">
        <f t="array" ref="M16">_xlfn.IFS(
OR(E16="Absent",
   E16="Sick Leave Without Pay",
   E16="Vacation Leave Without Pay",
   E16="Rest Day"), 0,
OR(E16="Approved Sick Leave",
   E16="Approved Vacation Leave"), 1,
D16="Regular Non-Working Holiday",
    IF(E16="Worked",
        IF(F16="Yes",2.6,2),
        1),
D16="Regular Working Holiday",
    IF(E16="Worked",
        IF(F16="Yes",2.6,2),
        1),
D16="Special Non-Working Holiday",
    IF(E16="Worked",
        IF(F16="Yes",1.5,1.3),
        0),
D16="Special Working Holiday",
    1,
D16="Regular",
    IF(F16="Yes",
        IF(E16="Worked",1.3,0),
        IF(E16="Worked",1,0)
    )
)</f>
        <v>1</v>
      </c>
      <c r="N16" cm="1">
        <f t="array" ref="N16">_xlfn.IFS(
F16="No",
    _xlfn.IFS(
        D16="Regular", 1.25,
        OR(D16="Special Working Holiday", D16="Special Non-Working Holiday"), 1.3*1.3,
        OR(D16="Regular Working Holiday", D16="Regular Non-Working Holiday"), 2*1.3
    ),
F16="Yes",
    _xlfn.IFS(
        D16="Regular", 1.3*1.3,
        OR(D16="Special Working Holiday", D16="Special Non-Working Holiday"), 1.5*1.3,
        OR(D16="Regular Working Holiday", D16="Regular Non-Working Holiday"), 2.6*1.3
    )
)</f>
        <v>1.25</v>
      </c>
      <c r="O16" s="9">
        <f t="shared" si="1"/>
        <v>800</v>
      </c>
      <c r="P16" t="str" cm="1">
        <f t="array" ref="P16">_xlfn.IFS(
  OR(DAY(B16)=5, DAY(B16)=20), "Cut-off", OR(DAY(B16)=6, DAY(B16)=21), "Start",
  OR(
     DAY(B16)=15,
     DAY(B16)=30, AND(MONTH(B16)=2,DAY(B16)=DAY(EOMONTH(B16,0)))
  ), "Payday",
  TRUE, ""
)</f>
        <v/>
      </c>
    </row>
    <row r="17" spans="1:17" x14ac:dyDescent="0.25">
      <c r="A17" s="50"/>
      <c r="B17" s="38">
        <v>46085</v>
      </c>
      <c r="C17" s="38" t="s">
        <v>9</v>
      </c>
      <c r="D17" t="str">
        <f>_xlfn.XLOOKUP(B17,'Holidays 2026'!$A$2:$A$27,'Holidays 2026'!$G$2:$G$27,"Regular",0,1)</f>
        <v>Regular</v>
      </c>
      <c r="E17" t="s">
        <v>71</v>
      </c>
      <c r="F17" t="str">
        <f t="shared" si="2"/>
        <v>No</v>
      </c>
      <c r="G17" cm="1">
        <f t="array" ref="G17">_xlfn.IFS(OR(E17="Worked",E17="Approved Sick Leave",E17="Approved Vacation Leave",E17="Holiday"),8,E17="","",OR(E17="Absent",E17="Rest Day",E17="Sick Leave Without Pay",E17="Vacation Leave Without Pay"),0)</f>
        <v>8</v>
      </c>
      <c r="H17">
        <v>0</v>
      </c>
      <c r="I17">
        <v>0</v>
      </c>
      <c r="J17">
        <v>0</v>
      </c>
      <c r="K17" s="40" t="str">
        <f t="shared" si="0"/>
        <v>7</v>
      </c>
      <c r="M17" cm="1">
        <f t="array" ref="M17">_xlfn.IFS(
OR(E17="Absent",
   E17="Sick Leave Without Pay",
   E17="Vacation Leave Without Pay",
   E17="Rest Day"), 0,
OR(E17="Approved Sick Leave",
   E17="Approved Vacation Leave"), 1,
D17="Regular Non-Working Holiday",
    IF(E17="Worked",
        IF(F17="Yes",2.6,2),
        1),
D17="Regular Working Holiday",
    IF(E17="Worked",
        IF(F17="Yes",2.6,2),
        1),
D17="Special Non-Working Holiday",
    IF(E17="Worked",
        IF(F17="Yes",1.5,1.3),
        0),
D17="Special Working Holiday",
    1,
D17="Regular",
    IF(F17="Yes",
        IF(E17="Worked",1.3,0),
        IF(E17="Worked",1,0)
    )
)</f>
        <v>1</v>
      </c>
      <c r="N17" cm="1">
        <f t="array" ref="N17">_xlfn.IFS(
F17="No",
    _xlfn.IFS(
        D17="Regular", 1.25,
        OR(D17="Special Working Holiday", D17="Special Non-Working Holiday"), 1.3*1.3,
        OR(D17="Regular Working Holiday", D17="Regular Non-Working Holiday"), 2*1.3
    ),
F17="Yes",
    _xlfn.IFS(
        D17="Regular", 1.3*1.3,
        OR(D17="Special Working Holiday", D17="Special Non-Working Holiday"), 1.5*1.3,
        OR(D17="Regular Working Holiday", D17="Regular Non-Working Holiday"), 2.6*1.3
    )
)</f>
        <v>1.25</v>
      </c>
      <c r="O17" s="9">
        <f t="shared" si="1"/>
        <v>800</v>
      </c>
      <c r="P17" t="str" cm="1">
        <f t="array" ref="P17">_xlfn.IFS(
  OR(DAY(B17)=5, DAY(B17)=20), "Cut-off", OR(DAY(B17)=6, DAY(B17)=21), "Start",
  OR(
     DAY(B17)=15,
     DAY(B17)=30, AND(MONTH(B17)=2,DAY(B17)=DAY(EOMONTH(B17,0)))
  ), "Payday",
  TRUE, ""
)</f>
        <v/>
      </c>
    </row>
    <row r="18" spans="1:17" x14ac:dyDescent="0.25">
      <c r="A18" s="50"/>
      <c r="B18" s="38">
        <v>46086</v>
      </c>
      <c r="C18" s="38" t="s">
        <v>9</v>
      </c>
      <c r="D18" t="str">
        <f>_xlfn.XLOOKUP(B18,'Holidays 2026'!$A$2:$A$27,'Holidays 2026'!$G$2:$G$27,"Regular",0,1)</f>
        <v>Regular</v>
      </c>
      <c r="E18" t="s">
        <v>71</v>
      </c>
      <c r="F18" t="str">
        <f t="shared" si="2"/>
        <v>No</v>
      </c>
      <c r="G18" cm="1">
        <f t="array" ref="G18">_xlfn.IFS(OR(E18="Worked",E18="Approved Sick Leave",E18="Approved Vacation Leave",E18="Holiday"),8,E18="","",OR(E18="Absent",E18="Rest Day",E18="Sick Leave Without Pay",E18="Vacation Leave Without Pay"),0)</f>
        <v>8</v>
      </c>
      <c r="H18">
        <v>0</v>
      </c>
      <c r="I18">
        <v>0</v>
      </c>
      <c r="J18">
        <v>0</v>
      </c>
      <c r="K18" s="40" t="str">
        <f t="shared" si="0"/>
        <v>7</v>
      </c>
      <c r="M18" cm="1">
        <f t="array" ref="M18">_xlfn.IFS(
OR(E18="Absent",
   E18="Sick Leave Without Pay",
   E18="Vacation Leave Without Pay",
   E18="Rest Day"), 0,
OR(E18="Approved Sick Leave",
   E18="Approved Vacation Leave"), 1,
D18="Regular Non-Working Holiday",
    IF(E18="Worked",
        IF(F18="Yes",2.6,2),
        1),
D18="Regular Working Holiday",
    IF(E18="Worked",
        IF(F18="Yes",2.6,2),
        1),
D18="Special Non-Working Holiday",
    IF(E18="Worked",
        IF(F18="Yes",1.5,1.3),
        0),
D18="Special Working Holiday",
    1,
D18="Regular",
    IF(F18="Yes",
        IF(E18="Worked",1.3,0),
        IF(E18="Worked",1,0)
    )
)</f>
        <v>1</v>
      </c>
      <c r="N18" cm="1">
        <f t="array" ref="N18">_xlfn.IFS(
F18="No",
    _xlfn.IFS(
        D18="Regular", 1.25,
        OR(D18="Special Working Holiday", D18="Special Non-Working Holiday"), 1.3*1.3,
        OR(D18="Regular Working Holiday", D18="Regular Non-Working Holiday"), 2*1.3
    ),
F18="Yes",
    _xlfn.IFS(
        D18="Regular", 1.3*1.3,
        OR(D18="Special Working Holiday", D18="Special Non-Working Holiday"), 1.5*1.3,
        OR(D18="Regular Working Holiday", D18="Regular Non-Working Holiday"), 2.6*1.3
    )
)</f>
        <v>1.25</v>
      </c>
      <c r="O18" s="9">
        <f t="shared" si="1"/>
        <v>800</v>
      </c>
      <c r="P18" t="str" cm="1">
        <f t="array" ref="P18">_xlfn.IFS(
  OR(DAY(B18)=5, DAY(B18)=20), "Cut-off", OR(DAY(B18)=6, DAY(B18)=21), "Start",
  OR(
     DAY(B18)=15,
     DAY(B18)=30, AND(MONTH(B18)=2,DAY(B18)=DAY(EOMONTH(B18,0)))
  ), "Payday",
  TRUE, ""
)</f>
        <v>Cut-off</v>
      </c>
    </row>
    <row r="19" spans="1:17" x14ac:dyDescent="0.25">
      <c r="A19" s="50"/>
      <c r="B19" s="38">
        <v>46087</v>
      </c>
      <c r="C19" s="38" t="s">
        <v>9</v>
      </c>
      <c r="D19" t="str">
        <f>_xlfn.XLOOKUP(B19,'Holidays 2026'!$A$2:$A$27,'Holidays 2026'!$G$2:$G$27,"Regular",0,1)</f>
        <v>Regular</v>
      </c>
      <c r="E19" t="s">
        <v>71</v>
      </c>
      <c r="F19" t="str">
        <f t="shared" si="2"/>
        <v>No</v>
      </c>
      <c r="G19" cm="1">
        <f t="array" ref="G19">_xlfn.IFS(OR(E19="Worked",E19="Approved Sick Leave",E19="Approved Vacation Leave",E19="Holiday"),8,E19="","",OR(E19="Absent",E19="Rest Day",E19="Sick Leave Without Pay",E19="Vacation Leave Without Pay"),0)</f>
        <v>8</v>
      </c>
      <c r="H19">
        <v>0</v>
      </c>
      <c r="I19">
        <v>0</v>
      </c>
      <c r="J19">
        <v>0</v>
      </c>
      <c r="K19" s="40" t="str">
        <f t="shared" si="0"/>
        <v>7</v>
      </c>
      <c r="M19" cm="1">
        <f t="array" ref="M19">_xlfn.IFS(
OR(E19="Absent",
   E19="Sick Leave Without Pay",
   E19="Vacation Leave Without Pay",
   E19="Rest Day"), 0,
OR(E19="Approved Sick Leave",
   E19="Approved Vacation Leave"), 1,
D19="Regular Non-Working Holiday",
    IF(E19="Worked",
        IF(F19="Yes",2.6,2),
        1),
D19="Regular Working Holiday",
    IF(E19="Worked",
        IF(F19="Yes",2.6,2),
        1),
D19="Special Non-Working Holiday",
    IF(E19="Worked",
        IF(F19="Yes",1.5,1.3),
        0),
D19="Special Working Holiday",
    1,
D19="Regular",
    IF(F19="Yes",
        IF(E19="Worked",1.3,0),
        IF(E19="Worked",1,0)
    )
)</f>
        <v>1</v>
      </c>
      <c r="N19" cm="1">
        <f t="array" ref="N19">_xlfn.IFS(
F19="No",
    _xlfn.IFS(
        D19="Regular", 1.25,
        OR(D19="Special Working Holiday", D19="Special Non-Working Holiday"), 1.3*1.3,
        OR(D19="Regular Working Holiday", D19="Regular Non-Working Holiday"), 2*1.3
    ),
F19="Yes",
    _xlfn.IFS(
        D19="Regular", 1.3*1.3,
        OR(D19="Special Working Holiday", D19="Special Non-Working Holiday"), 1.5*1.3,
        OR(D19="Regular Working Holiday", D19="Regular Non-Working Holiday"), 2.6*1.3
    )
)</f>
        <v>1.25</v>
      </c>
      <c r="O19" s="9">
        <f t="shared" si="1"/>
        <v>800</v>
      </c>
      <c r="P19" t="str" cm="1">
        <f t="array" ref="P19">_xlfn.IFS(
  OR(DAY(B19)=5, DAY(B19)=20), "Cut-off", OR(DAY(B19)=6, DAY(B19)=21), "Start",
  OR(
     DAY(B19)=15,
     DAY(B19)=30, AND(MONTH(B19)=2,DAY(B19)=DAY(EOMONTH(B19,0)))
  ), "Payday",
  TRUE, ""
)</f>
        <v>Start</v>
      </c>
    </row>
    <row r="20" spans="1:17" x14ac:dyDescent="0.25">
      <c r="A20" s="50"/>
      <c r="B20" s="38">
        <v>46088</v>
      </c>
      <c r="C20" s="38" t="s">
        <v>9</v>
      </c>
      <c r="D20" t="str">
        <f>_xlfn.XLOOKUP(B20,'Holidays 2026'!$A$2:$A$27,'Holidays 2026'!$G$2:$G$27,"Regular",0,1)</f>
        <v>Regular</v>
      </c>
      <c r="E20" t="s">
        <v>82</v>
      </c>
      <c r="F20" t="str">
        <f t="shared" si="2"/>
        <v>Yes</v>
      </c>
      <c r="G20" cm="1">
        <f t="array" ref="G20">_xlfn.IFS(OR(E20="Worked",E20="Approved Sick Leave",E20="Approved Vacation Leave",E20="Holiday"),8,E20="","",OR(E20="Absent",E20="Rest Day",E20="Sick Leave Without Pay",E20="Vacation Leave Without Pay"),0)</f>
        <v>0</v>
      </c>
      <c r="H20">
        <v>0</v>
      </c>
      <c r="I20">
        <v>0</v>
      </c>
      <c r="J20">
        <v>0</v>
      </c>
      <c r="K20" s="40">
        <f t="shared" si="0"/>
        <v>0</v>
      </c>
      <c r="M20" cm="1">
        <f t="array" ref="M20">_xlfn.IFS(
OR(E20="Absent",
   E20="Sick Leave Without Pay",
   E20="Vacation Leave Without Pay",
   E20="Rest Day"), 0,
OR(E20="Approved Sick Leave",
   E20="Approved Vacation Leave"), 1,
D20="Regular Non-Working Holiday",
    IF(E20="Worked",
        IF(F20="Yes",2.6,2),
        1),
D20="Regular Working Holiday",
    IF(E20="Worked",
        IF(F20="Yes",2.6,2),
        1),
D20="Special Non-Working Holiday",
    IF(E20="Worked",
        IF(F20="Yes",1.5,1.3),
        0),
D20="Special Working Holiday",
    1,
D20="Regular",
    IF(F20="Yes",
        IF(E20="Worked",1.3,0),
        IF(E20="Worked",1,0)
    )
)</f>
        <v>0</v>
      </c>
      <c r="N20" cm="1">
        <f t="array" ref="N20">_xlfn.IFS(
F20="No",
    _xlfn.IFS(
        D20="Regular", 1.25,
        OR(D20="Special Working Holiday", D20="Special Non-Working Holiday"), 1.3*1.3,
        OR(D20="Regular Working Holiday", D20="Regular Non-Working Holiday"), 2*1.3
    ),
F20="Yes",
    _xlfn.IFS(
        D20="Regular", 1.3*1.3,
        OR(D20="Special Working Holiday", D20="Special Non-Working Holiday"), 1.5*1.3,
        OR(D20="Regular Working Holiday", D20="Regular Non-Working Holiday"), 2.6*1.3
    )
)</f>
        <v>1.6900000000000002</v>
      </c>
      <c r="O20" s="9">
        <f t="shared" si="1"/>
        <v>0</v>
      </c>
      <c r="P20" t="str" cm="1">
        <f t="array" ref="P20">_xlfn.IFS(
  OR(DAY(B20)=5, DAY(B20)=20), "Cut-off", OR(DAY(B20)=6, DAY(B20)=21), "Start",
  OR(
     DAY(B20)=15,
     DAY(B20)=30, AND(MONTH(B20)=2,DAY(B20)=DAY(EOMONTH(B20,0)))
  ), "Payday",
  TRUE, ""
)</f>
        <v/>
      </c>
    </row>
    <row r="21" spans="1:17" x14ac:dyDescent="0.25">
      <c r="A21" s="50"/>
      <c r="B21" s="38">
        <v>46089</v>
      </c>
      <c r="C21" s="38" t="s">
        <v>9</v>
      </c>
      <c r="D21" t="str">
        <f>_xlfn.XLOOKUP(B21,'Holidays 2026'!$A$2:$A$27,'Holidays 2026'!$G$2:$G$27,"Regular",0,1)</f>
        <v>Regular</v>
      </c>
      <c r="E21" t="s">
        <v>82</v>
      </c>
      <c r="F21" t="str">
        <f t="shared" si="2"/>
        <v>Yes</v>
      </c>
      <c r="G21" cm="1">
        <f t="array" ref="G21">_xlfn.IFS(OR(E21="Worked",E21="Approved Sick Leave",E21="Approved Vacation Leave",E21="Holiday"),8,E21="","",OR(E21="Absent",E21="Rest Day",E21="Sick Leave Without Pay",E21="Vacation Leave Without Pay"),0)</f>
        <v>0</v>
      </c>
      <c r="H21">
        <v>0</v>
      </c>
      <c r="I21">
        <v>0</v>
      </c>
      <c r="J21">
        <v>0</v>
      </c>
      <c r="K21" s="40">
        <f t="shared" si="0"/>
        <v>0</v>
      </c>
      <c r="M21" cm="1">
        <f t="array" ref="M21">_xlfn.IFS(
OR(E21="Absent",
   E21="Sick Leave Without Pay",
   E21="Vacation Leave Without Pay",
   E21="Rest Day"), 0,
OR(E21="Approved Sick Leave",
   E21="Approved Vacation Leave"), 1,
D21="Regular Non-Working Holiday",
    IF(E21="Worked",
        IF(F21="Yes",2.6,2),
        1),
D21="Regular Working Holiday",
    IF(E21="Worked",
        IF(F21="Yes",2.6,2),
        1),
D21="Special Non-Working Holiday",
    IF(E21="Worked",
        IF(F21="Yes",1.5,1.3),
        0),
D21="Special Working Holiday",
    1,
D21="Regular",
    IF(F21="Yes",
        IF(E21="Worked",1.3,0),
        IF(E21="Worked",1,0)
    )
)</f>
        <v>0</v>
      </c>
      <c r="N21" cm="1">
        <f t="array" ref="N21">_xlfn.IFS(
F21="No",
    _xlfn.IFS(
        D21="Regular", 1.25,
        OR(D21="Special Working Holiday", D21="Special Non-Working Holiday"), 1.3*1.3,
        OR(D21="Regular Working Holiday", D21="Regular Non-Working Holiday"), 2*1.3
    ),
F21="Yes",
    _xlfn.IFS(
        D21="Regular", 1.3*1.3,
        OR(D21="Special Working Holiday", D21="Special Non-Working Holiday"), 1.5*1.3,
        OR(D21="Regular Working Holiday", D21="Regular Non-Working Holiday"), 2.6*1.3
    )
)</f>
        <v>1.6900000000000002</v>
      </c>
      <c r="O21" s="9">
        <f t="shared" si="1"/>
        <v>0</v>
      </c>
      <c r="P21" t="str" cm="1">
        <f t="array" ref="P21">_xlfn.IFS(
  OR(DAY(B21)=5, DAY(B21)=20), "Cut-off", OR(DAY(B21)=6, DAY(B21)=21), "Start",
  OR(
     DAY(B21)=15,
     DAY(B21)=30, AND(MONTH(B21)=2,DAY(B21)=DAY(EOMONTH(B21,0)))
  ), "Payday",
  TRUE, ""
)</f>
        <v/>
      </c>
    </row>
    <row r="22" spans="1:17" x14ac:dyDescent="0.25">
      <c r="A22" s="50"/>
      <c r="B22" s="38">
        <v>46090</v>
      </c>
      <c r="C22" s="38" t="s">
        <v>9</v>
      </c>
      <c r="D22" t="str">
        <f>_xlfn.XLOOKUP(B22,'Holidays 2026'!$A$2:$A$27,'Holidays 2026'!$G$2:$G$27,"Regular",0,1)</f>
        <v>Regular</v>
      </c>
      <c r="E22" t="s">
        <v>71</v>
      </c>
      <c r="F22" t="str">
        <f t="shared" si="2"/>
        <v>No</v>
      </c>
      <c r="G22" cm="1">
        <f t="array" ref="G22">_xlfn.IFS(OR(E22="Worked",E22="Approved Sick Leave",E22="Approved Vacation Leave",E22="Holiday"),8,E22="","",OR(E22="Absent",E22="Rest Day",E22="Sick Leave Without Pay",E22="Vacation Leave Without Pay"),0)</f>
        <v>8</v>
      </c>
      <c r="H22">
        <v>0</v>
      </c>
      <c r="I22">
        <v>0</v>
      </c>
      <c r="J22">
        <v>0</v>
      </c>
      <c r="K22" s="40" t="str">
        <f t="shared" si="0"/>
        <v>7</v>
      </c>
      <c r="M22" cm="1">
        <f t="array" ref="M22">_xlfn.IFS(
OR(E22="Absent",
   E22="Sick Leave Without Pay",
   E22="Vacation Leave Without Pay",
   E22="Rest Day"), 0,
OR(E22="Approved Sick Leave",
   E22="Approved Vacation Leave"), 1,
D22="Regular Non-Working Holiday",
    IF(E22="Worked",
        IF(F22="Yes",2.6,2),
        1),
D22="Regular Working Holiday",
    IF(E22="Worked",
        IF(F22="Yes",2.6,2),
        1),
D22="Special Non-Working Holiday",
    IF(E22="Worked",
        IF(F22="Yes",1.5,1.3),
        0),
D22="Special Working Holiday",
    1,
D22="Regular",
    IF(F22="Yes",
        IF(E22="Worked",1.3,0),
        IF(E22="Worked",1,0)
    )
)</f>
        <v>1</v>
      </c>
      <c r="N22" cm="1">
        <f t="array" ref="N22">_xlfn.IFS(
F22="No",
    _xlfn.IFS(
        D22="Regular", 1.25,
        OR(D22="Special Working Holiday", D22="Special Non-Working Holiday"), 1.3*1.3,
        OR(D22="Regular Working Holiday", D22="Regular Non-Working Holiday"), 2*1.3
    ),
F22="Yes",
    _xlfn.IFS(
        D22="Regular", 1.3*1.3,
        OR(D22="Special Working Holiday", D22="Special Non-Working Holiday"), 1.5*1.3,
        OR(D22="Regular Working Holiday", D22="Regular Non-Working Holiday"), 2.6*1.3
    )
)</f>
        <v>1.25</v>
      </c>
      <c r="O22" s="9">
        <f t="shared" si="1"/>
        <v>800</v>
      </c>
      <c r="P22" t="str" cm="1">
        <f t="array" ref="P22">_xlfn.IFS(
  OR(DAY(B22)=5, DAY(B22)=20), "Cut-off", OR(DAY(B22)=6, DAY(B22)=21), "Start",
  OR(
     DAY(B22)=15,
     DAY(B22)=30, AND(MONTH(B22)=2,DAY(B22)=DAY(EOMONTH(B22,0)))
  ), "Payday",
  TRUE, ""
)</f>
        <v/>
      </c>
    </row>
    <row r="23" spans="1:17" x14ac:dyDescent="0.25">
      <c r="A23" s="50"/>
      <c r="B23" s="38">
        <v>46091</v>
      </c>
      <c r="C23" s="38" t="s">
        <v>9</v>
      </c>
      <c r="D23" t="str">
        <f>_xlfn.XLOOKUP(B23,'Holidays 2026'!$A$2:$A$27,'Holidays 2026'!$G$2:$G$27,"Regular",0,1)</f>
        <v>Regular</v>
      </c>
      <c r="E23" t="s">
        <v>71</v>
      </c>
      <c r="F23" t="str">
        <f t="shared" si="2"/>
        <v>No</v>
      </c>
      <c r="G23" cm="1">
        <f t="array" ref="G23">_xlfn.IFS(OR(E23="Worked",E23="Approved Sick Leave",E23="Approved Vacation Leave",E23="Holiday"),8,E23="","",OR(E23="Absent",E23="Rest Day",E23="Sick Leave Without Pay",E23="Vacation Leave Without Pay"),0)</f>
        <v>8</v>
      </c>
      <c r="H23">
        <v>0</v>
      </c>
      <c r="I23">
        <v>0</v>
      </c>
      <c r="J23">
        <v>0</v>
      </c>
      <c r="K23" s="40" t="str">
        <f t="shared" si="0"/>
        <v>7</v>
      </c>
      <c r="M23" cm="1">
        <f t="array" ref="M23">_xlfn.IFS(
OR(E23="Absent",
   E23="Sick Leave Without Pay",
   E23="Vacation Leave Without Pay",
   E23="Rest Day"), 0,
OR(E23="Approved Sick Leave",
   E23="Approved Vacation Leave"), 1,
D23="Regular Non-Working Holiday",
    IF(E23="Worked",
        IF(F23="Yes",2.6,2),
        1),
D23="Regular Working Holiday",
    IF(E23="Worked",
        IF(F23="Yes",2.6,2),
        1),
D23="Special Non-Working Holiday",
    IF(E23="Worked",
        IF(F23="Yes",1.5,1.3),
        0),
D23="Special Working Holiday",
    1,
D23="Regular",
    IF(F23="Yes",
        IF(E23="Worked",1.3,0),
        IF(E23="Worked",1,0)
    )
)</f>
        <v>1</v>
      </c>
      <c r="N23" cm="1">
        <f t="array" ref="N23">_xlfn.IFS(
F23="No",
    _xlfn.IFS(
        D23="Regular", 1.25,
        OR(D23="Special Working Holiday", D23="Special Non-Working Holiday"), 1.3*1.3,
        OR(D23="Regular Working Holiday", D23="Regular Non-Working Holiday"), 2*1.3
    ),
F23="Yes",
    _xlfn.IFS(
        D23="Regular", 1.3*1.3,
        OR(D23="Special Working Holiday", D23="Special Non-Working Holiday"), 1.5*1.3,
        OR(D23="Regular Working Holiday", D23="Regular Non-Working Holiday"), 2.6*1.3
    )
)</f>
        <v>1.25</v>
      </c>
      <c r="O23" s="9">
        <f t="shared" si="1"/>
        <v>800</v>
      </c>
      <c r="P23" t="str" cm="1">
        <f t="array" ref="P23">_xlfn.IFS(
  OR(DAY(B23)=5, DAY(B23)=20), "Cut-off", OR(DAY(B23)=6, DAY(B23)=21), "Start",
  OR(
     DAY(B23)=15,
     DAY(B23)=30, AND(MONTH(B23)=2,DAY(B23)=DAY(EOMONTH(B23,0)))
  ), "Payday",
  TRUE, ""
)</f>
        <v/>
      </c>
    </row>
    <row r="24" spans="1:17" x14ac:dyDescent="0.25">
      <c r="A24" s="50"/>
      <c r="B24" s="38">
        <v>46092</v>
      </c>
      <c r="C24" s="38" t="s">
        <v>9</v>
      </c>
      <c r="D24" t="str">
        <f>_xlfn.XLOOKUP(B24,'Holidays 2026'!$A$2:$A$27,'Holidays 2026'!$G$2:$G$27,"Regular",0,1)</f>
        <v>Regular</v>
      </c>
      <c r="E24" t="s">
        <v>71</v>
      </c>
      <c r="F24" t="str">
        <f t="shared" si="2"/>
        <v>No</v>
      </c>
      <c r="G24" cm="1">
        <f t="array" ref="G24">_xlfn.IFS(OR(E24="Worked",E24="Approved Sick Leave",E24="Approved Vacation Leave",E24="Holiday"),8,E24="","",OR(E24="Absent",E24="Rest Day",E24="Sick Leave Without Pay",E24="Vacation Leave Without Pay"),0)</f>
        <v>8</v>
      </c>
      <c r="H24">
        <v>0</v>
      </c>
      <c r="I24">
        <v>0</v>
      </c>
      <c r="J24">
        <v>0</v>
      </c>
      <c r="K24" s="40" t="str">
        <f t="shared" si="0"/>
        <v>7</v>
      </c>
      <c r="M24" cm="1">
        <f t="array" ref="M24">_xlfn.IFS(
OR(E24="Absent",
   E24="Sick Leave Without Pay",
   E24="Vacation Leave Without Pay",
   E24="Rest Day"), 0,
OR(E24="Approved Sick Leave",
   E24="Approved Vacation Leave"), 1,
D24="Regular Non-Working Holiday",
    IF(E24="Worked",
        IF(F24="Yes",2.6,2),
        1),
D24="Regular Working Holiday",
    IF(E24="Worked",
        IF(F24="Yes",2.6,2),
        1),
D24="Special Non-Working Holiday",
    IF(E24="Worked",
        IF(F24="Yes",1.5,1.3),
        0),
D24="Special Working Holiday",
    1,
D24="Regular",
    IF(F24="Yes",
        IF(E24="Worked",1.3,0),
        IF(E24="Worked",1,0)
    )
)</f>
        <v>1</v>
      </c>
      <c r="N24" cm="1">
        <f t="array" ref="N24">_xlfn.IFS(
F24="No",
    _xlfn.IFS(
        D24="Regular", 1.25,
        OR(D24="Special Working Holiday", D24="Special Non-Working Holiday"), 1.3*1.3,
        OR(D24="Regular Working Holiday", D24="Regular Non-Working Holiday"), 2*1.3
    ),
F24="Yes",
    _xlfn.IFS(
        D24="Regular", 1.3*1.3,
        OR(D24="Special Working Holiday", D24="Special Non-Working Holiday"), 1.5*1.3,
        OR(D24="Regular Working Holiday", D24="Regular Non-Working Holiday"), 2.6*1.3
    )
)</f>
        <v>1.25</v>
      </c>
      <c r="O24" s="9">
        <f t="shared" si="1"/>
        <v>800</v>
      </c>
      <c r="P24" t="str" cm="1">
        <f t="array" ref="P24">_xlfn.IFS(
  OR(DAY(B24)=5, DAY(B24)=20), "Cut-off", OR(DAY(B24)=6, DAY(B24)=21), "Start",
  OR(
     DAY(B24)=15,
     DAY(B24)=30, AND(MONTH(B24)=2,DAY(B24)=DAY(EOMONTH(B24,0)))
  ), "Payday",
  TRUE, ""
)</f>
        <v/>
      </c>
    </row>
    <row r="25" spans="1:17" x14ac:dyDescent="0.25">
      <c r="A25" s="50"/>
      <c r="B25" s="38">
        <v>46093</v>
      </c>
      <c r="C25" s="38" t="s">
        <v>9</v>
      </c>
      <c r="D25" t="str">
        <f>_xlfn.XLOOKUP(B25,'Holidays 2026'!$A$2:$A$27,'Holidays 2026'!$G$2:$G$27,"Regular",0,1)</f>
        <v>Regular</v>
      </c>
      <c r="E25" t="s">
        <v>71</v>
      </c>
      <c r="F25" t="str">
        <f t="shared" si="2"/>
        <v>No</v>
      </c>
      <c r="G25" cm="1">
        <f t="array" ref="G25">_xlfn.IFS(OR(E25="Worked",E25="Approved Sick Leave",E25="Approved Vacation Leave",E25="Holiday"),8,E25="","",OR(E25="Absent",E25="Rest Day",E25="Sick Leave Without Pay",E25="Vacation Leave Without Pay"),0)</f>
        <v>8</v>
      </c>
      <c r="H25">
        <v>0</v>
      </c>
      <c r="I25">
        <v>0</v>
      </c>
      <c r="J25">
        <v>0</v>
      </c>
      <c r="K25" s="40" t="str">
        <f t="shared" si="0"/>
        <v>7</v>
      </c>
      <c r="M25" cm="1">
        <f t="array" ref="M25">_xlfn.IFS(
OR(E25="Absent",
   E25="Sick Leave Without Pay",
   E25="Vacation Leave Without Pay",
   E25="Rest Day"), 0,
OR(E25="Approved Sick Leave",
   E25="Approved Vacation Leave"), 1,
D25="Regular Non-Working Holiday",
    IF(E25="Worked",
        IF(F25="Yes",2.6,2),
        1),
D25="Regular Working Holiday",
    IF(E25="Worked",
        IF(F25="Yes",2.6,2),
        1),
D25="Special Non-Working Holiday",
    IF(E25="Worked",
        IF(F25="Yes",1.5,1.3),
        0),
D25="Special Working Holiday",
    1,
D25="Regular",
    IF(F25="Yes",
        IF(E25="Worked",1.3,0),
        IF(E25="Worked",1,0)
    )
)</f>
        <v>1</v>
      </c>
      <c r="N25" cm="1">
        <f t="array" ref="N25">_xlfn.IFS(
F25="No",
    _xlfn.IFS(
        D25="Regular", 1.25,
        OR(D25="Special Working Holiday", D25="Special Non-Working Holiday"), 1.3*1.3,
        OR(D25="Regular Working Holiday", D25="Regular Non-Working Holiday"), 2*1.3
    ),
F25="Yes",
    _xlfn.IFS(
        D25="Regular", 1.3*1.3,
        OR(D25="Special Working Holiday", D25="Special Non-Working Holiday"), 1.5*1.3,
        OR(D25="Regular Working Holiday", D25="Regular Non-Working Holiday"), 2.6*1.3
    )
)</f>
        <v>1.25</v>
      </c>
      <c r="O25" s="9">
        <f t="shared" si="1"/>
        <v>800</v>
      </c>
      <c r="P25" t="str" cm="1">
        <f t="array" ref="P25">_xlfn.IFS(
  OR(DAY(B25)=5, DAY(B25)=20), "Cut-off", OR(DAY(B25)=6, DAY(B25)=21), "Start",
  OR(
     DAY(B25)=15,
     DAY(B25)=30, AND(MONTH(B25)=2,DAY(B25)=DAY(EOMONTH(B25,0)))
  ), "Payday",
  TRUE, ""
)</f>
        <v/>
      </c>
    </row>
    <row r="26" spans="1:17" x14ac:dyDescent="0.25">
      <c r="A26" s="50"/>
      <c r="B26" s="38">
        <v>46094</v>
      </c>
      <c r="C26" s="38" t="s">
        <v>9</v>
      </c>
      <c r="D26" t="str">
        <f>_xlfn.XLOOKUP(B26,'Holidays 2026'!$A$2:$A$27,'Holidays 2026'!$G$2:$G$27,"Regular",0,1)</f>
        <v>Regular</v>
      </c>
      <c r="E26" t="s">
        <v>71</v>
      </c>
      <c r="F26" t="str">
        <f t="shared" si="2"/>
        <v>No</v>
      </c>
      <c r="G26" cm="1">
        <f t="array" ref="G26">_xlfn.IFS(OR(E26="Worked",E26="Approved Sick Leave",E26="Approved Vacation Leave",E26="Holiday"),8,E26="","",OR(E26="Absent",E26="Rest Day",E26="Sick Leave Without Pay",E26="Vacation Leave Without Pay"),0)</f>
        <v>8</v>
      </c>
      <c r="H26">
        <v>0</v>
      </c>
      <c r="I26">
        <v>0</v>
      </c>
      <c r="J26">
        <v>0</v>
      </c>
      <c r="K26" s="40" t="str">
        <f t="shared" si="0"/>
        <v>7</v>
      </c>
      <c r="M26" cm="1">
        <f t="array" ref="M26">_xlfn.IFS(
OR(E26="Absent",
   E26="Sick Leave Without Pay",
   E26="Vacation Leave Without Pay",
   E26="Rest Day"), 0,
OR(E26="Approved Sick Leave",
   E26="Approved Vacation Leave"), 1,
D26="Regular Non-Working Holiday",
    IF(E26="Worked",
        IF(F26="Yes",2.6,2),
        1),
D26="Regular Working Holiday",
    IF(E26="Worked",
        IF(F26="Yes",2.6,2),
        1),
D26="Special Non-Working Holiday",
    IF(E26="Worked",
        IF(F26="Yes",1.5,1.3),
        0),
D26="Special Working Holiday",
    1,
D26="Regular",
    IF(F26="Yes",
        IF(E26="Worked",1.3,0),
        IF(E26="Worked",1,0)
    )
)</f>
        <v>1</v>
      </c>
      <c r="N26" cm="1">
        <f t="array" ref="N26">_xlfn.IFS(
F26="No",
    _xlfn.IFS(
        D26="Regular", 1.25,
        OR(D26="Special Working Holiday", D26="Special Non-Working Holiday"), 1.3*1.3,
        OR(D26="Regular Working Holiday", D26="Regular Non-Working Holiday"), 2*1.3
    ),
F26="Yes",
    _xlfn.IFS(
        D26="Regular", 1.3*1.3,
        OR(D26="Special Working Holiday", D26="Special Non-Working Holiday"), 1.5*1.3,
        OR(D26="Regular Working Holiday", D26="Regular Non-Working Holiday"), 2.6*1.3
    )
)</f>
        <v>1.25</v>
      </c>
      <c r="O26" s="9">
        <f t="shared" si="1"/>
        <v>800</v>
      </c>
      <c r="P26" t="str" cm="1">
        <f t="array" ref="P26">_xlfn.IFS(
  OR(DAY(B26)=5, DAY(B26)=20), "Cut-off", OR(DAY(B26)=6, DAY(B26)=21), "Start",
  OR(
     DAY(B26)=15,
     DAY(B26)=30, AND(MONTH(B26)=2,DAY(B26)=DAY(EOMONTH(B26,0)))
  ), "Payday",
  TRUE, ""
)</f>
        <v/>
      </c>
    </row>
    <row r="27" spans="1:17" x14ac:dyDescent="0.25">
      <c r="A27" s="50"/>
      <c r="B27" s="38">
        <v>46095</v>
      </c>
      <c r="C27" s="38" t="s">
        <v>9</v>
      </c>
      <c r="D27" t="str">
        <f>_xlfn.XLOOKUP(B27,'Holidays 2026'!$A$2:$A$27,'Holidays 2026'!$G$2:$G$27,"Regular",0,1)</f>
        <v>Regular</v>
      </c>
      <c r="E27" t="s">
        <v>82</v>
      </c>
      <c r="F27" t="str">
        <f t="shared" si="2"/>
        <v>Yes</v>
      </c>
      <c r="G27" cm="1">
        <f t="array" ref="G27">_xlfn.IFS(OR(E27="Worked",E27="Approved Sick Leave",E27="Approved Vacation Leave",E27="Holiday"),8,E27="","",OR(E27="Absent",E27="Rest Day",E27="Sick Leave Without Pay",E27="Vacation Leave Without Pay"),0)</f>
        <v>0</v>
      </c>
      <c r="H27">
        <v>0</v>
      </c>
      <c r="I27">
        <v>0</v>
      </c>
      <c r="J27">
        <v>0</v>
      </c>
      <c r="K27" s="40">
        <f t="shared" si="0"/>
        <v>0</v>
      </c>
      <c r="M27" cm="1">
        <f t="array" ref="M27">_xlfn.IFS(
OR(E27="Absent",
   E27="Sick Leave Without Pay",
   E27="Vacation Leave Without Pay",
   E27="Rest Day"), 0,
OR(E27="Approved Sick Leave",
   E27="Approved Vacation Leave"), 1,
D27="Regular Non-Working Holiday",
    IF(E27="Worked",
        IF(F27="Yes",2.6,2),
        1),
D27="Regular Working Holiday",
    IF(E27="Worked",
        IF(F27="Yes",2.6,2),
        1),
D27="Special Non-Working Holiday",
    IF(E27="Worked",
        IF(F27="Yes",1.5,1.3),
        0),
D27="Special Working Holiday",
    1,
D27="Regular",
    IF(F27="Yes",
        IF(E27="Worked",1.3,0),
        IF(E27="Worked",1,0)
    )
)</f>
        <v>0</v>
      </c>
      <c r="N27" cm="1">
        <f t="array" ref="N27">_xlfn.IFS(
F27="No",
    _xlfn.IFS(
        D27="Regular", 1.25,
        OR(D27="Special Working Holiday", D27="Special Non-Working Holiday"), 1.3*1.3,
        OR(D27="Regular Working Holiday", D27="Regular Non-Working Holiday"), 2*1.3
    ),
F27="Yes",
    _xlfn.IFS(
        D27="Regular", 1.3*1.3,
        OR(D27="Special Working Holiday", D27="Special Non-Working Holiday"), 1.5*1.3,
        OR(D27="Regular Working Holiday", D27="Regular Non-Working Holiday"), 2.6*1.3
    )
)</f>
        <v>1.6900000000000002</v>
      </c>
      <c r="O27" s="9">
        <f t="shared" si="1"/>
        <v>0</v>
      </c>
      <c r="P27" t="str" cm="1">
        <f t="array" ref="P27">_xlfn.IFS(
  OR(DAY(B27)=5, DAY(B27)=20), "Cut-off", OR(DAY(B27)=6, DAY(B27)=21), "Start",
  OR(
     DAY(B27)=15,
     DAY(B27)=30, AND(MONTH(B27)=2,DAY(B27)=DAY(EOMONTH(B27,0)))
  ), "Payday",
  TRUE, ""
)</f>
        <v/>
      </c>
    </row>
    <row r="28" spans="1:17" x14ac:dyDescent="0.25">
      <c r="A28" s="50"/>
      <c r="B28" s="38">
        <v>46096</v>
      </c>
      <c r="C28" s="38" t="s">
        <v>9</v>
      </c>
      <c r="D28" t="str">
        <f>_xlfn.XLOOKUP(B28,'Holidays 2026'!$A$2:$A$27,'Holidays 2026'!$G$2:$G$27,"Regular",0,1)</f>
        <v>Regular</v>
      </c>
      <c r="E28" t="s">
        <v>82</v>
      </c>
      <c r="F28" t="str">
        <f t="shared" si="2"/>
        <v>Yes</v>
      </c>
      <c r="G28" cm="1">
        <f t="array" ref="G28">_xlfn.IFS(OR(E28="Worked",E28="Approved Sick Leave",E28="Approved Vacation Leave",E28="Holiday"),8,E28="","",OR(E28="Absent",E28="Rest Day",E28="Sick Leave Without Pay",E28="Vacation Leave Without Pay"),0)</f>
        <v>0</v>
      </c>
      <c r="H28">
        <v>0</v>
      </c>
      <c r="I28">
        <v>0</v>
      </c>
      <c r="J28">
        <v>0</v>
      </c>
      <c r="K28" s="40">
        <f t="shared" si="0"/>
        <v>0</v>
      </c>
      <c r="M28" cm="1">
        <f t="array" ref="M28">_xlfn.IFS(
OR(E28="Absent",
   E28="Sick Leave Without Pay",
   E28="Vacation Leave Without Pay",
   E28="Rest Day"), 0,
OR(E28="Approved Sick Leave",
   E28="Approved Vacation Leave"), 1,
D28="Regular Non-Working Holiday",
    IF(E28="Worked",
        IF(F28="Yes",2.6,2),
        1),
D28="Regular Working Holiday",
    IF(E28="Worked",
        IF(F28="Yes",2.6,2),
        1),
D28="Special Non-Working Holiday",
    IF(E28="Worked",
        IF(F28="Yes",1.5,1.3),
        0),
D28="Special Working Holiday",
    1,
D28="Regular",
    IF(F28="Yes",
        IF(E28="Worked",1.3,0),
        IF(E28="Worked",1,0)
    )
)</f>
        <v>0</v>
      </c>
      <c r="N28" cm="1">
        <f t="array" ref="N28">_xlfn.IFS(
F28="No",
    _xlfn.IFS(
        D28="Regular", 1.25,
        OR(D28="Special Working Holiday", D28="Special Non-Working Holiday"), 1.3*1.3,
        OR(D28="Regular Working Holiday", D28="Regular Non-Working Holiday"), 2*1.3
    ),
F28="Yes",
    _xlfn.IFS(
        D28="Regular", 1.3*1.3,
        OR(D28="Special Working Holiday", D28="Special Non-Working Holiday"), 1.5*1.3,
        OR(D28="Regular Working Holiday", D28="Regular Non-Working Holiday"), 2.6*1.3
    )
)</f>
        <v>1.6900000000000002</v>
      </c>
      <c r="O28" s="9">
        <f t="shared" si="1"/>
        <v>0</v>
      </c>
      <c r="P28" t="str" cm="1">
        <f t="array" ref="P28">_xlfn.IFS(
  OR(DAY(B28)=5, DAY(B28)=20), "Cut-off", OR(DAY(B28)=6, DAY(B28)=21), "Start",
  OR(
     DAY(B28)=15,
     DAY(B28)=30, AND(MONTH(B28)=2,DAY(B28)=DAY(EOMONTH(B28,0)))
  ), "Payday",
  TRUE, ""
)</f>
        <v>Payday</v>
      </c>
      <c r="Q28" s="9">
        <f>SUM(O6:O18)</f>
        <v>7200</v>
      </c>
    </row>
    <row r="29" spans="1:17" x14ac:dyDescent="0.25">
      <c r="A29" s="50"/>
      <c r="B29" s="38">
        <v>46097</v>
      </c>
      <c r="C29" s="38" t="s">
        <v>9</v>
      </c>
      <c r="D29" t="str">
        <f>_xlfn.XLOOKUP(B29,'Holidays 2026'!$A$2:$A$27,'Holidays 2026'!$G$2:$G$27,"Regular",0,1)</f>
        <v>Regular</v>
      </c>
      <c r="E29" t="s">
        <v>71</v>
      </c>
      <c r="F29" t="str">
        <f t="shared" si="2"/>
        <v>No</v>
      </c>
      <c r="G29" cm="1">
        <f t="array" ref="G29">_xlfn.IFS(OR(E29="Worked",E29="Approved Sick Leave",E29="Approved Vacation Leave",E29="Holiday"),8,E29="","",OR(E29="Absent",E29="Rest Day",E29="Sick Leave Without Pay",E29="Vacation Leave Without Pay"),0)</f>
        <v>8</v>
      </c>
      <c r="H29">
        <v>0</v>
      </c>
      <c r="I29">
        <v>0</v>
      </c>
      <c r="J29">
        <v>0</v>
      </c>
      <c r="K29" s="40" t="str">
        <f t="shared" si="0"/>
        <v>7</v>
      </c>
      <c r="M29" cm="1">
        <f t="array" ref="M29">_xlfn.IFS(
OR(E29="Absent",
   E29="Sick Leave Without Pay",
   E29="Vacation Leave Without Pay",
   E29="Rest Day"), 0,
OR(E29="Approved Sick Leave",
   E29="Approved Vacation Leave"), 1,
D29="Regular Non-Working Holiday",
    IF(E29="Worked",
        IF(F29="Yes",2.6,2),
        1),
D29="Regular Working Holiday",
    IF(E29="Worked",
        IF(F29="Yes",2.6,2),
        1),
D29="Special Non-Working Holiday",
    IF(E29="Worked",
        IF(F29="Yes",1.5,1.3),
        0),
D29="Special Working Holiday",
    1,
D29="Regular",
    IF(F29="Yes",
        IF(E29="Worked",1.3,0),
        IF(E29="Worked",1,0)
    )
)</f>
        <v>1</v>
      </c>
      <c r="N29" cm="1">
        <f t="array" ref="N29">_xlfn.IFS(
F29="No",
    _xlfn.IFS(
        D29="Regular", 1.25,
        OR(D29="Special Working Holiday", D29="Special Non-Working Holiday"), 1.3*1.3,
        OR(D29="Regular Working Holiday", D29="Regular Non-Working Holiday"), 2*1.3
    ),
F29="Yes",
    _xlfn.IFS(
        D29="Regular", 1.3*1.3,
        OR(D29="Special Working Holiday", D29="Special Non-Working Holiday"), 1.5*1.3,
        OR(D29="Regular Working Holiday", D29="Regular Non-Working Holiday"), 2.6*1.3
    )
)</f>
        <v>1.25</v>
      </c>
      <c r="O29" s="9">
        <f t="shared" si="1"/>
        <v>800</v>
      </c>
      <c r="P29" t="str" cm="1">
        <f t="array" ref="P29">_xlfn.IFS(
  OR(DAY(B29)=5, DAY(B29)=20), "Cut-off", OR(DAY(B29)=6, DAY(B29)=21), "Start",
  OR(
     DAY(B29)=15,
     DAY(B29)=30, AND(MONTH(B29)=2,DAY(B29)=DAY(EOMONTH(B29,0)))
  ), "Payday",
  TRUE, ""
)</f>
        <v/>
      </c>
    </row>
    <row r="30" spans="1:17" x14ac:dyDescent="0.25">
      <c r="A30" s="50"/>
      <c r="B30" s="38">
        <v>46098</v>
      </c>
      <c r="C30" s="38" t="s">
        <v>9</v>
      </c>
      <c r="D30" t="str">
        <f>_xlfn.XLOOKUP(B30,'Holidays 2026'!$A$2:$A$27,'Holidays 2026'!$G$2:$G$27,"Regular",0,1)</f>
        <v>Regular</v>
      </c>
      <c r="E30" t="s">
        <v>71</v>
      </c>
      <c r="F30" t="str">
        <f t="shared" si="2"/>
        <v>No</v>
      </c>
      <c r="G30" cm="1">
        <f t="array" ref="G30">_xlfn.IFS(OR(E30="Worked",E30="Approved Sick Leave",E30="Approved Vacation Leave",E30="Holiday"),8,E30="","",OR(E30="Absent",E30="Rest Day",E30="Sick Leave Without Pay",E30="Vacation Leave Without Pay"),0)</f>
        <v>8</v>
      </c>
      <c r="H30">
        <v>0</v>
      </c>
      <c r="I30">
        <v>0</v>
      </c>
      <c r="J30">
        <v>0</v>
      </c>
      <c r="K30" s="40" t="str">
        <f t="shared" si="0"/>
        <v>7</v>
      </c>
      <c r="M30" cm="1">
        <f t="array" ref="M30">_xlfn.IFS(
OR(E30="Absent",
   E30="Sick Leave Without Pay",
   E30="Vacation Leave Without Pay",
   E30="Rest Day"), 0,
OR(E30="Approved Sick Leave",
   E30="Approved Vacation Leave"), 1,
D30="Regular Non-Working Holiday",
    IF(E30="Worked",
        IF(F30="Yes",2.6,2),
        1),
D30="Regular Working Holiday",
    IF(E30="Worked",
        IF(F30="Yes",2.6,2),
        1),
D30="Special Non-Working Holiday",
    IF(E30="Worked",
        IF(F30="Yes",1.5,1.3),
        0),
D30="Special Working Holiday",
    1,
D30="Regular",
    IF(F30="Yes",
        IF(E30="Worked",1.3,0),
        IF(E30="Worked",1,0)
    )
)</f>
        <v>1</v>
      </c>
      <c r="N30" cm="1">
        <f t="array" ref="N30">_xlfn.IFS(
F30="No",
    _xlfn.IFS(
        D30="Regular", 1.25,
        OR(D30="Special Working Holiday", D30="Special Non-Working Holiday"), 1.3*1.3,
        OR(D30="Regular Working Holiday", D30="Regular Non-Working Holiday"), 2*1.3
    ),
F30="Yes",
    _xlfn.IFS(
        D30="Regular", 1.3*1.3,
        OR(D30="Special Working Holiday", D30="Special Non-Working Holiday"), 1.5*1.3,
        OR(D30="Regular Working Holiday", D30="Regular Non-Working Holiday"), 2.6*1.3
    )
)</f>
        <v>1.25</v>
      </c>
      <c r="O30" s="9">
        <f t="shared" si="1"/>
        <v>800</v>
      </c>
      <c r="P30" t="str" cm="1">
        <f t="array" ref="P30">_xlfn.IFS(
  OR(DAY(B30)=5, DAY(B30)=20), "Cut-off", OR(DAY(B30)=6, DAY(B30)=21), "Start",
  OR(
     DAY(B30)=15,
     DAY(B30)=30, AND(MONTH(B30)=2,DAY(B30)=DAY(EOMONTH(B30,0)))
  ), "Payday",
  TRUE, ""
)</f>
        <v/>
      </c>
    </row>
    <row r="31" spans="1:17" x14ac:dyDescent="0.25">
      <c r="A31" s="50"/>
      <c r="B31" s="38">
        <v>46099</v>
      </c>
      <c r="C31" s="38" t="s">
        <v>9</v>
      </c>
      <c r="D31" t="str">
        <f>_xlfn.XLOOKUP(B31,'Holidays 2026'!$A$2:$A$27,'Holidays 2026'!$G$2:$G$27,"Regular",0,1)</f>
        <v>Regular</v>
      </c>
      <c r="E31" t="s">
        <v>71</v>
      </c>
      <c r="F31" t="str">
        <f t="shared" si="2"/>
        <v>No</v>
      </c>
      <c r="G31" cm="1">
        <f t="array" ref="G31">_xlfn.IFS(OR(E31="Worked",E31="Approved Sick Leave",E31="Approved Vacation Leave",E31="Holiday"),8,E31="","",OR(E31="Absent",E31="Rest Day",E31="Sick Leave Without Pay",E31="Vacation Leave Without Pay"),0)</f>
        <v>8</v>
      </c>
      <c r="H31">
        <v>0</v>
      </c>
      <c r="I31">
        <v>0</v>
      </c>
      <c r="J31">
        <v>0</v>
      </c>
      <c r="K31" s="40" t="str">
        <f t="shared" si="0"/>
        <v>7</v>
      </c>
      <c r="M31" cm="1">
        <f t="array" ref="M31">_xlfn.IFS(
OR(E31="Absent",
   E31="Sick Leave Without Pay",
   E31="Vacation Leave Without Pay",
   E31="Rest Day"), 0,
OR(E31="Approved Sick Leave",
   E31="Approved Vacation Leave"), 1,
D31="Regular Non-Working Holiday",
    IF(E31="Worked",
        IF(F31="Yes",2.6,2),
        1),
D31="Regular Working Holiday",
    IF(E31="Worked",
        IF(F31="Yes",2.6,2),
        1),
D31="Special Non-Working Holiday",
    IF(E31="Worked",
        IF(F31="Yes",1.5,1.3),
        0),
D31="Special Working Holiday",
    1,
D31="Regular",
    IF(F31="Yes",
        IF(E31="Worked",1.3,0),
        IF(E31="Worked",1,0)
    )
)</f>
        <v>1</v>
      </c>
      <c r="N31" cm="1">
        <f t="array" ref="N31">_xlfn.IFS(
F31="No",
    _xlfn.IFS(
        D31="Regular", 1.25,
        OR(D31="Special Working Holiday", D31="Special Non-Working Holiday"), 1.3*1.3,
        OR(D31="Regular Working Holiday", D31="Regular Non-Working Holiday"), 2*1.3
    ),
F31="Yes",
    _xlfn.IFS(
        D31="Regular", 1.3*1.3,
        OR(D31="Special Working Holiday", D31="Special Non-Working Holiday"), 1.5*1.3,
        OR(D31="Regular Working Holiday", D31="Regular Non-Working Holiday"), 2.6*1.3
    )
)</f>
        <v>1.25</v>
      </c>
      <c r="O31" s="9">
        <f t="shared" si="1"/>
        <v>800</v>
      </c>
      <c r="P31" t="str" cm="1">
        <f t="array" ref="P31">_xlfn.IFS(
  OR(DAY(B31)=5, DAY(B31)=20), "Cut-off", OR(DAY(B31)=6, DAY(B31)=21), "Start",
  OR(
     DAY(B31)=15,
     DAY(B31)=30, AND(MONTH(B31)=2,DAY(B31)=DAY(EOMONTH(B31,0)))
  ), "Payday",
  TRUE, ""
)</f>
        <v/>
      </c>
    </row>
    <row r="32" spans="1:17" x14ac:dyDescent="0.25">
      <c r="A32" s="50"/>
      <c r="B32" s="38">
        <v>46100</v>
      </c>
      <c r="C32" s="38" t="s">
        <v>9</v>
      </c>
      <c r="D32" t="str">
        <f>_xlfn.XLOOKUP(B32,'Holidays 2026'!$A$2:$A$27,'Holidays 2026'!$G$2:$G$27,"Regular",0,1)</f>
        <v>Regular</v>
      </c>
      <c r="E32" t="s">
        <v>71</v>
      </c>
      <c r="F32" t="str">
        <f t="shared" si="2"/>
        <v>No</v>
      </c>
      <c r="G32" cm="1">
        <f t="array" ref="G32">_xlfn.IFS(OR(E32="Worked",E32="Approved Sick Leave",E32="Approved Vacation Leave",E32="Holiday"),8,E32="","",OR(E32="Absent",E32="Rest Day",E32="Sick Leave Without Pay",E32="Vacation Leave Without Pay"),0)</f>
        <v>8</v>
      </c>
      <c r="H32">
        <v>0</v>
      </c>
      <c r="I32">
        <v>0</v>
      </c>
      <c r="J32">
        <v>0</v>
      </c>
      <c r="K32" s="40" t="str">
        <f t="shared" si="0"/>
        <v>7</v>
      </c>
      <c r="M32" cm="1">
        <f t="array" ref="M32">_xlfn.IFS(
OR(E32="Absent",
   E32="Sick Leave Without Pay",
   E32="Vacation Leave Without Pay",
   E32="Rest Day"), 0,
OR(E32="Approved Sick Leave",
   E32="Approved Vacation Leave"), 1,
D32="Regular Non-Working Holiday",
    IF(E32="Worked",
        IF(F32="Yes",2.6,2),
        1),
D32="Regular Working Holiday",
    IF(E32="Worked",
        IF(F32="Yes",2.6,2),
        1),
D32="Special Non-Working Holiday",
    IF(E32="Worked",
        IF(F32="Yes",1.5,1.3),
        0),
D32="Special Working Holiday",
    1,
D32="Regular",
    IF(F32="Yes",
        IF(E32="Worked",1.3,0),
        IF(E32="Worked",1,0)
    )
)</f>
        <v>1</v>
      </c>
      <c r="N32" cm="1">
        <f t="array" ref="N32">_xlfn.IFS(
F32="No",
    _xlfn.IFS(
        D32="Regular", 1.25,
        OR(D32="Special Working Holiday", D32="Special Non-Working Holiday"), 1.3*1.3,
        OR(D32="Regular Working Holiday", D32="Regular Non-Working Holiday"), 2*1.3
    ),
F32="Yes",
    _xlfn.IFS(
        D32="Regular", 1.3*1.3,
        OR(D32="Special Working Holiday", D32="Special Non-Working Holiday"), 1.5*1.3,
        OR(D32="Regular Working Holiday", D32="Regular Non-Working Holiday"), 2.6*1.3
    )
)</f>
        <v>1.25</v>
      </c>
      <c r="O32" s="9">
        <f t="shared" si="1"/>
        <v>800</v>
      </c>
      <c r="P32" t="str" cm="1">
        <f t="array" ref="P32">_xlfn.IFS(
  OR(DAY(B32)=5, DAY(B32)=20), "Cut-off", OR(DAY(B32)=6, DAY(B32)=21), "Start",
  OR(
     DAY(B32)=15,
     DAY(B32)=30, AND(MONTH(B32)=2,DAY(B32)=DAY(EOMONTH(B32,0)))
  ), "Payday",
  TRUE, ""
)</f>
        <v/>
      </c>
    </row>
    <row r="33" spans="1:17" x14ac:dyDescent="0.25">
      <c r="A33" s="50"/>
      <c r="B33" s="38">
        <v>46101</v>
      </c>
      <c r="C33" s="38" t="s">
        <v>9</v>
      </c>
      <c r="D33" t="str">
        <f>_xlfn.XLOOKUP(B33,'Holidays 2026'!$A$2:$A$27,'Holidays 2026'!$G$2:$G$27,"Regular",0,1)</f>
        <v>Regular Working Holiday</v>
      </c>
      <c r="E33" t="s">
        <v>71</v>
      </c>
      <c r="F33" t="str">
        <f t="shared" si="2"/>
        <v>No</v>
      </c>
      <c r="G33" cm="1">
        <f t="array" ref="G33">_xlfn.IFS(OR(E33="Worked",E33="Approved Sick Leave",E33="Approved Vacation Leave",E33="Holiday"),8,E33="","",OR(E33="Absent",E33="Rest Day",E33="Sick Leave Without Pay",E33="Vacation Leave Without Pay"),0)</f>
        <v>8</v>
      </c>
      <c r="H33">
        <v>0</v>
      </c>
      <c r="I33">
        <v>0</v>
      </c>
      <c r="J33">
        <v>0</v>
      </c>
      <c r="K33" s="40" t="str">
        <f t="shared" si="0"/>
        <v>7</v>
      </c>
      <c r="M33" cm="1">
        <f t="array" ref="M33">_xlfn.IFS(
OR(E33="Absent",
   E33="Sick Leave Without Pay",
   E33="Vacation Leave Without Pay",
   E33="Rest Day"), 0,
OR(E33="Approved Sick Leave",
   E33="Approved Vacation Leave"), 1,
D33="Regular Non-Working Holiday",
    IF(E33="Worked",
        IF(F33="Yes",2.6,2),
        1),
D33="Regular Working Holiday",
    IF(E33="Worked",
        IF(F33="Yes",2.6,2),
        1),
D33="Special Non-Working Holiday",
    IF(E33="Worked",
        IF(F33="Yes",1.5,1.3),
        0),
D33="Special Working Holiday",
    1,
D33="Regular",
    IF(F33="Yes",
        IF(E33="Worked",1.3,0),
        IF(E33="Worked",1,0)
    )
)</f>
        <v>2</v>
      </c>
      <c r="N33" cm="1">
        <f t="array" ref="N33">_xlfn.IFS(
F33="No",
    _xlfn.IFS(
        D33="Regular", 1.25,
        OR(D33="Special Working Holiday", D33="Special Non-Working Holiday"), 1.3*1.3,
        OR(D33="Regular Working Holiday", D33="Regular Non-Working Holiday"), 2*1.3
    ),
F33="Yes",
    _xlfn.IFS(
        D33="Regular", 1.3*1.3,
        OR(D33="Special Working Holiday", D33="Special Non-Working Holiday"), 1.5*1.3,
        OR(D33="Regular Working Holiday", D33="Regular Non-Working Holiday"), 2.6*1.3
    )
)</f>
        <v>2.6</v>
      </c>
      <c r="O33" s="9">
        <f t="shared" si="1"/>
        <v>1535.6321839080458</v>
      </c>
      <c r="P33" t="str" cm="1">
        <f t="array" ref="P33">_xlfn.IFS(
  OR(DAY(B33)=5, DAY(B33)=20), "Cut-off", OR(DAY(B33)=6, DAY(B33)=21), "Start",
  OR(
     DAY(B33)=15,
     DAY(B33)=30, AND(MONTH(B33)=2,DAY(B33)=DAY(EOMONTH(B33,0)))
  ), "Payday",
  TRUE, ""
)</f>
        <v>Cut-off</v>
      </c>
    </row>
    <row r="34" spans="1:17" x14ac:dyDescent="0.25">
      <c r="A34" s="50"/>
      <c r="B34" s="38">
        <v>46102</v>
      </c>
      <c r="C34" s="38" t="s">
        <v>9</v>
      </c>
      <c r="D34" t="str">
        <f>_xlfn.XLOOKUP(B34,'Holidays 2026'!$A$2:$A$27,'Holidays 2026'!$G$2:$G$27,"Regular",0,1)</f>
        <v>Regular</v>
      </c>
      <c r="E34" t="s">
        <v>82</v>
      </c>
      <c r="F34" t="str">
        <f t="shared" si="2"/>
        <v>Yes</v>
      </c>
      <c r="G34" cm="1">
        <f t="array" ref="G34">_xlfn.IFS(OR(E34="Worked",E34="Approved Sick Leave",E34="Approved Vacation Leave",E34="Holiday"),8,E34="","",OR(E34="Absent",E34="Rest Day",E34="Sick Leave Without Pay",E34="Vacation Leave Without Pay"),0)</f>
        <v>0</v>
      </c>
      <c r="H34">
        <v>0</v>
      </c>
      <c r="I34">
        <v>0</v>
      </c>
      <c r="J34">
        <v>0</v>
      </c>
      <c r="K34" s="40">
        <f t="shared" ref="K34:K66" si="3">IF(E34="Rest Day",0,"7")</f>
        <v>0</v>
      </c>
      <c r="M34" cm="1">
        <f t="array" ref="M34">_xlfn.IFS(
OR(E34="Absent",
   E34="Sick Leave Without Pay",
   E34="Vacation Leave Without Pay",
   E34="Rest Day"), 0,
OR(E34="Approved Sick Leave",
   E34="Approved Vacation Leave"), 1,
D34="Regular Non-Working Holiday",
    IF(E34="Worked",
        IF(F34="Yes",2.6,2),
        1),
D34="Regular Working Holiday",
    IF(E34="Worked",
        IF(F34="Yes",2.6,2),
        1),
D34="Special Non-Working Holiday",
    IF(E34="Worked",
        IF(F34="Yes",1.5,1.3),
        0),
D34="Special Working Holiday",
    1,
D34="Regular",
    IF(F34="Yes",
        IF(E34="Worked",1.3,0),
        IF(E34="Worked",1,0)
    )
)</f>
        <v>0</v>
      </c>
      <c r="N34" cm="1">
        <f t="array" ref="N34">_xlfn.IFS(
F34="No",
    _xlfn.IFS(
        D34="Regular", 1.25,
        OR(D34="Special Working Holiday", D34="Special Non-Working Holiday"), 1.3*1.3,
        OR(D34="Regular Working Holiday", D34="Regular Non-Working Holiday"), 2*1.3
    ),
F34="Yes",
    _xlfn.IFS(
        D34="Regular", 1.3*1.3,
        OR(D34="Special Working Holiday", D34="Special Non-Working Holiday"), 1.5*1.3,
        OR(D34="Regular Working Holiday", D34="Regular Non-Working Holiday"), 2.6*1.3
    )
)</f>
        <v>1.6900000000000002</v>
      </c>
      <c r="O34" s="9">
        <f t="shared" ref="O34:O65" si="4">IF(E34&lt;&gt;"",(G34*HPE*M34)+(N34*HPE*J34)+(K34*ND),"")</f>
        <v>0</v>
      </c>
      <c r="P34" t="str" cm="1">
        <f t="array" ref="P34">_xlfn.IFS(
  OR(DAY(B34)=5, DAY(B34)=20), "Cut-off", OR(DAY(B34)=6, DAY(B34)=21), "Start",
  OR(
     DAY(B34)=15,
     DAY(B34)=30, AND(MONTH(B34)=2,DAY(B34)=DAY(EOMONTH(B34,0)))
  ), "Payday",
  TRUE, ""
)</f>
        <v>Start</v>
      </c>
    </row>
    <row r="35" spans="1:17" x14ac:dyDescent="0.25">
      <c r="A35" s="50"/>
      <c r="B35" s="38">
        <v>46103</v>
      </c>
      <c r="C35" s="38" t="s">
        <v>9</v>
      </c>
      <c r="D35" t="str">
        <f>_xlfn.XLOOKUP(B35,'Holidays 2026'!$A$2:$A$27,'Holidays 2026'!$G$2:$G$27,"Regular",0,1)</f>
        <v>Regular</v>
      </c>
      <c r="E35" t="s">
        <v>82</v>
      </c>
      <c r="F35" t="str">
        <f t="shared" si="2"/>
        <v>Yes</v>
      </c>
      <c r="G35" cm="1">
        <f t="array" ref="G35">_xlfn.IFS(OR(E35="Worked",E35="Approved Sick Leave",E35="Approved Vacation Leave",E35="Holiday"),8,E35="","",OR(E35="Absent",E35="Rest Day",E35="Sick Leave Without Pay",E35="Vacation Leave Without Pay"),0)</f>
        <v>0</v>
      </c>
      <c r="H35">
        <v>0</v>
      </c>
      <c r="I35">
        <v>0</v>
      </c>
      <c r="J35">
        <v>0</v>
      </c>
      <c r="K35" s="40">
        <f t="shared" si="3"/>
        <v>0</v>
      </c>
      <c r="M35" cm="1">
        <f t="array" ref="M35">_xlfn.IFS(
OR(E35="Absent",
   E35="Sick Leave Without Pay",
   E35="Vacation Leave Without Pay",
   E35="Rest Day"), 0,
OR(E35="Approved Sick Leave",
   E35="Approved Vacation Leave"), 1,
D35="Regular Non-Working Holiday",
    IF(E35="Worked",
        IF(F35="Yes",2.6,2),
        1),
D35="Regular Working Holiday",
    IF(E35="Worked",
        IF(F35="Yes",2.6,2),
        1),
D35="Special Non-Working Holiday",
    IF(E35="Worked",
        IF(F35="Yes",1.5,1.3),
        0),
D35="Special Working Holiday",
    1,
D35="Regular",
    IF(F35="Yes",
        IF(E35="Worked",1.3,0),
        IF(E35="Worked",1,0)
    )
)</f>
        <v>0</v>
      </c>
      <c r="N35" cm="1">
        <f t="array" ref="N35">_xlfn.IFS(
F35="No",
    _xlfn.IFS(
        D35="Regular", 1.25,
        OR(D35="Special Working Holiday", D35="Special Non-Working Holiday"), 1.3*1.3,
        OR(D35="Regular Working Holiday", D35="Regular Non-Working Holiday"), 2*1.3
    ),
F35="Yes",
    _xlfn.IFS(
        D35="Regular", 1.3*1.3,
        OR(D35="Special Working Holiday", D35="Special Non-Working Holiday"), 1.5*1.3,
        OR(D35="Regular Working Holiday", D35="Regular Non-Working Holiday"), 2.6*1.3
    )
)</f>
        <v>1.6900000000000002</v>
      </c>
      <c r="O35" s="9">
        <f t="shared" si="4"/>
        <v>0</v>
      </c>
      <c r="P35" t="str" cm="1">
        <f t="array" ref="P35">_xlfn.IFS(
  OR(DAY(B35)=5, DAY(B35)=20), "Cut-off", OR(DAY(B35)=6, DAY(B35)=21), "Start",
  OR(
     DAY(B35)=15,
     DAY(B35)=30, AND(MONTH(B35)=2,DAY(B35)=DAY(EOMONTH(B35,0)))
  ), "Payday",
  TRUE, ""
)</f>
        <v/>
      </c>
    </row>
    <row r="36" spans="1:17" x14ac:dyDescent="0.25">
      <c r="A36" s="50"/>
      <c r="B36" s="38">
        <v>46104</v>
      </c>
      <c r="C36" s="38" t="s">
        <v>9</v>
      </c>
      <c r="D36" t="str">
        <f>_xlfn.XLOOKUP(B36,'Holidays 2026'!$A$2:$A$27,'Holidays 2026'!$G$2:$G$27,"Regular",0,1)</f>
        <v>Regular</v>
      </c>
      <c r="E36" t="s">
        <v>71</v>
      </c>
      <c r="F36" t="str">
        <f t="shared" si="2"/>
        <v>No</v>
      </c>
      <c r="G36" cm="1">
        <f t="array" ref="G36">_xlfn.IFS(OR(E36="Worked",E36="Approved Sick Leave",E36="Approved Vacation Leave",E36="Holiday"),8,E36="","",OR(E36="Absent",E36="Rest Day",E36="Sick Leave Without Pay",E36="Vacation Leave Without Pay"),0)</f>
        <v>8</v>
      </c>
      <c r="H36">
        <v>0</v>
      </c>
      <c r="I36">
        <v>0</v>
      </c>
      <c r="J36">
        <v>0</v>
      </c>
      <c r="K36" s="40" t="str">
        <f t="shared" si="3"/>
        <v>7</v>
      </c>
      <c r="M36" cm="1">
        <f t="array" ref="M36">_xlfn.IFS(
OR(E36="Absent",
   E36="Sick Leave Without Pay",
   E36="Vacation Leave Without Pay",
   E36="Rest Day"), 0,
OR(E36="Approved Sick Leave",
   E36="Approved Vacation Leave"), 1,
D36="Regular Non-Working Holiday",
    IF(E36="Worked",
        IF(F36="Yes",2.6,2),
        1),
D36="Regular Working Holiday",
    IF(E36="Worked",
        IF(F36="Yes",2.6,2),
        1),
D36="Special Non-Working Holiday",
    IF(E36="Worked",
        IF(F36="Yes",1.5,1.3),
        0),
D36="Special Working Holiday",
    1,
D36="Regular",
    IF(F36="Yes",
        IF(E36="Worked",1.3,0),
        IF(E36="Worked",1,0)
    )
)</f>
        <v>1</v>
      </c>
      <c r="N36" cm="1">
        <f t="array" ref="N36">_xlfn.IFS(
F36="No",
    _xlfn.IFS(
        D36="Regular", 1.25,
        OR(D36="Special Working Holiday", D36="Special Non-Working Holiday"), 1.3*1.3,
        OR(D36="Regular Working Holiday", D36="Regular Non-Working Holiday"), 2*1.3
    ),
F36="Yes",
    _xlfn.IFS(
        D36="Regular", 1.3*1.3,
        OR(D36="Special Working Holiday", D36="Special Non-Working Holiday"), 1.5*1.3,
        OR(D36="Regular Working Holiday", D36="Regular Non-Working Holiday"), 2.6*1.3
    )
)</f>
        <v>1.25</v>
      </c>
      <c r="O36" s="9">
        <f t="shared" si="4"/>
        <v>800</v>
      </c>
      <c r="P36" t="str" cm="1">
        <f t="array" ref="P36">_xlfn.IFS(
  OR(DAY(B36)=5, DAY(B36)=20), "Cut-off", OR(DAY(B36)=6, DAY(B36)=21), "Start",
  OR(
     DAY(B36)=15,
     DAY(B36)=30, AND(MONTH(B36)=2,DAY(B36)=DAY(EOMONTH(B36,0)))
  ), "Payday",
  TRUE, ""
)</f>
        <v/>
      </c>
    </row>
    <row r="37" spans="1:17" x14ac:dyDescent="0.25">
      <c r="A37" s="50"/>
      <c r="B37" s="38">
        <v>46105</v>
      </c>
      <c r="C37" s="38" t="s">
        <v>9</v>
      </c>
      <c r="D37" t="str">
        <f>_xlfn.XLOOKUP(B37,'Holidays 2026'!$A$2:$A$27,'Holidays 2026'!$G$2:$G$27,"Regular",0,1)</f>
        <v>Regular</v>
      </c>
      <c r="E37" t="s">
        <v>71</v>
      </c>
      <c r="F37" t="str">
        <f t="shared" si="2"/>
        <v>No</v>
      </c>
      <c r="G37" cm="1">
        <f t="array" ref="G37">_xlfn.IFS(OR(E37="Worked",E37="Approved Sick Leave",E37="Approved Vacation Leave",E37="Holiday"),8,E37="","",OR(E37="Absent",E37="Rest Day",E37="Sick Leave Without Pay",E37="Vacation Leave Without Pay"),0)</f>
        <v>8</v>
      </c>
      <c r="H37">
        <v>0</v>
      </c>
      <c r="I37">
        <v>0</v>
      </c>
      <c r="J37">
        <v>0</v>
      </c>
      <c r="K37" s="40" t="str">
        <f t="shared" si="3"/>
        <v>7</v>
      </c>
      <c r="M37" cm="1">
        <f t="array" ref="M37">_xlfn.IFS(
OR(E37="Absent",
   E37="Sick Leave Without Pay",
   E37="Vacation Leave Without Pay",
   E37="Rest Day"), 0,
OR(E37="Approved Sick Leave",
   E37="Approved Vacation Leave"), 1,
D37="Regular Non-Working Holiday",
    IF(E37="Worked",
        IF(F37="Yes",2.6,2),
        1),
D37="Regular Working Holiday",
    IF(E37="Worked",
        IF(F37="Yes",2.6,2),
        1),
D37="Special Non-Working Holiday",
    IF(E37="Worked",
        IF(F37="Yes",1.5,1.3),
        0),
D37="Special Working Holiday",
    1,
D37="Regular",
    IF(F37="Yes",
        IF(E37="Worked",1.3,0),
        IF(E37="Worked",1,0)
    )
)</f>
        <v>1</v>
      </c>
      <c r="N37" cm="1">
        <f t="array" ref="N37">_xlfn.IFS(
F37="No",
    _xlfn.IFS(
        D37="Regular", 1.25,
        OR(D37="Special Working Holiday", D37="Special Non-Working Holiday"), 1.3*1.3,
        OR(D37="Regular Working Holiday", D37="Regular Non-Working Holiday"), 2*1.3
    ),
F37="Yes",
    _xlfn.IFS(
        D37="Regular", 1.3*1.3,
        OR(D37="Special Working Holiday", D37="Special Non-Working Holiday"), 1.5*1.3,
        OR(D37="Regular Working Holiday", D37="Regular Non-Working Holiday"), 2.6*1.3
    )
)</f>
        <v>1.25</v>
      </c>
      <c r="O37" s="9">
        <f t="shared" si="4"/>
        <v>800</v>
      </c>
      <c r="P37" t="str" cm="1">
        <f t="array" ref="P37">_xlfn.IFS(
  OR(DAY(B37)=5, DAY(B37)=20), "Cut-off", OR(DAY(B37)=6, DAY(B37)=21), "Start",
  OR(
     DAY(B37)=15,
     DAY(B37)=30, AND(MONTH(B37)=2,DAY(B37)=DAY(EOMONTH(B37,0)))
  ), "Payday",
  TRUE, ""
)</f>
        <v/>
      </c>
    </row>
    <row r="38" spans="1:17" x14ac:dyDescent="0.25">
      <c r="A38" s="50"/>
      <c r="B38" s="38">
        <v>46106</v>
      </c>
      <c r="C38" s="38" t="s">
        <v>9</v>
      </c>
      <c r="D38" t="str">
        <f>_xlfn.XLOOKUP(B38,'Holidays 2026'!$A$2:$A$27,'Holidays 2026'!$G$2:$G$27,"Regular",0,1)</f>
        <v>Regular</v>
      </c>
      <c r="E38" t="s">
        <v>71</v>
      </c>
      <c r="F38" t="str">
        <f t="shared" si="2"/>
        <v>No</v>
      </c>
      <c r="G38" cm="1">
        <f t="array" ref="G38">_xlfn.IFS(OR(E38="Worked",E38="Approved Sick Leave",E38="Approved Vacation Leave",E38="Holiday"),8,E38="","",OR(E38="Absent",E38="Rest Day",E38="Sick Leave Without Pay",E38="Vacation Leave Without Pay"),0)</f>
        <v>8</v>
      </c>
      <c r="H38">
        <v>0</v>
      </c>
      <c r="I38">
        <v>0</v>
      </c>
      <c r="J38">
        <v>0</v>
      </c>
      <c r="K38" s="40" t="str">
        <f t="shared" si="3"/>
        <v>7</v>
      </c>
      <c r="M38" cm="1">
        <f t="array" ref="M38">_xlfn.IFS(
OR(E38="Absent",
   E38="Sick Leave Without Pay",
   E38="Vacation Leave Without Pay",
   E38="Rest Day"), 0,
OR(E38="Approved Sick Leave",
   E38="Approved Vacation Leave"), 1,
D38="Regular Non-Working Holiday",
    IF(E38="Worked",
        IF(F38="Yes",2.6,2),
        1),
D38="Regular Working Holiday",
    IF(E38="Worked",
        IF(F38="Yes",2.6,2),
        1),
D38="Special Non-Working Holiday",
    IF(E38="Worked",
        IF(F38="Yes",1.5,1.3),
        0),
D38="Special Working Holiday",
    1,
D38="Regular",
    IF(F38="Yes",
        IF(E38="Worked",1.3,0),
        IF(E38="Worked",1,0)
    )
)</f>
        <v>1</v>
      </c>
      <c r="N38" cm="1">
        <f t="array" ref="N38">_xlfn.IFS(
F38="No",
    _xlfn.IFS(
        D38="Regular", 1.25,
        OR(D38="Special Working Holiday", D38="Special Non-Working Holiday"), 1.3*1.3,
        OR(D38="Regular Working Holiday", D38="Regular Non-Working Holiday"), 2*1.3
    ),
F38="Yes",
    _xlfn.IFS(
        D38="Regular", 1.3*1.3,
        OR(D38="Special Working Holiday", D38="Special Non-Working Holiday"), 1.5*1.3,
        OR(D38="Regular Working Holiday", D38="Regular Non-Working Holiday"), 2.6*1.3
    )
)</f>
        <v>1.25</v>
      </c>
      <c r="O38" s="9">
        <f t="shared" si="4"/>
        <v>800</v>
      </c>
      <c r="P38" t="str" cm="1">
        <f t="array" ref="P38">_xlfn.IFS(
  OR(DAY(B38)=5, DAY(B38)=20), "Cut-off", OR(DAY(B38)=6, DAY(B38)=21), "Start",
  OR(
     DAY(B38)=15,
     DAY(B38)=30, AND(MONTH(B38)=2,DAY(B38)=DAY(EOMONTH(B38,0)))
  ), "Payday",
  TRUE, ""
)</f>
        <v/>
      </c>
    </row>
    <row r="39" spans="1:17" x14ac:dyDescent="0.25">
      <c r="A39" s="50"/>
      <c r="B39" s="38">
        <v>46107</v>
      </c>
      <c r="C39" s="38" t="s">
        <v>9</v>
      </c>
      <c r="D39" t="str">
        <f>_xlfn.XLOOKUP(B39,'Holidays 2026'!$A$2:$A$27,'Holidays 2026'!$G$2:$G$27,"Regular",0,1)</f>
        <v>Regular</v>
      </c>
      <c r="E39" t="s">
        <v>71</v>
      </c>
      <c r="F39" t="str">
        <f t="shared" si="2"/>
        <v>No</v>
      </c>
      <c r="G39" cm="1">
        <f t="array" ref="G39">_xlfn.IFS(OR(E39="Worked",E39="Approved Sick Leave",E39="Approved Vacation Leave",E39="Holiday"),8,E39="","",OR(E39="Absent",E39="Rest Day",E39="Sick Leave Without Pay",E39="Vacation Leave Without Pay"),0)</f>
        <v>8</v>
      </c>
      <c r="H39">
        <v>0</v>
      </c>
      <c r="I39">
        <v>0</v>
      </c>
      <c r="J39">
        <v>0</v>
      </c>
      <c r="K39" s="40" t="str">
        <f t="shared" si="3"/>
        <v>7</v>
      </c>
      <c r="M39" cm="1">
        <f t="array" ref="M39">_xlfn.IFS(
OR(E39="Absent",
   E39="Sick Leave Without Pay",
   E39="Vacation Leave Without Pay",
   E39="Rest Day"), 0,
OR(E39="Approved Sick Leave",
   E39="Approved Vacation Leave"), 1,
D39="Regular Non-Working Holiday",
    IF(E39="Worked",
        IF(F39="Yes",2.6,2),
        1),
D39="Regular Working Holiday",
    IF(E39="Worked",
        IF(F39="Yes",2.6,2),
        1),
D39="Special Non-Working Holiday",
    IF(E39="Worked",
        IF(F39="Yes",1.5,1.3),
        0),
D39="Special Working Holiday",
    1,
D39="Regular",
    IF(F39="Yes",
        IF(E39="Worked",1.3,0),
        IF(E39="Worked",1,0)
    )
)</f>
        <v>1</v>
      </c>
      <c r="N39" cm="1">
        <f t="array" ref="N39">_xlfn.IFS(
F39="No",
    _xlfn.IFS(
        D39="Regular", 1.25,
        OR(D39="Special Working Holiday", D39="Special Non-Working Holiday"), 1.3*1.3,
        OR(D39="Regular Working Holiday", D39="Regular Non-Working Holiday"), 2*1.3
    ),
F39="Yes",
    _xlfn.IFS(
        D39="Regular", 1.3*1.3,
        OR(D39="Special Working Holiday", D39="Special Non-Working Holiday"), 1.5*1.3,
        OR(D39="Regular Working Holiday", D39="Regular Non-Working Holiday"), 2.6*1.3
    )
)</f>
        <v>1.25</v>
      </c>
      <c r="O39" s="9">
        <f t="shared" si="4"/>
        <v>800</v>
      </c>
      <c r="P39" t="str" cm="1">
        <f t="array" ref="P39">_xlfn.IFS(
  OR(DAY(B39)=5, DAY(B39)=20), "Cut-off", OR(DAY(B39)=6, DAY(B39)=21), "Start",
  OR(
     DAY(B39)=15,
     DAY(B39)=30, AND(MONTH(B39)=2,DAY(B39)=DAY(EOMONTH(B39,0)))
  ), "Payday",
  TRUE, ""
)</f>
        <v/>
      </c>
    </row>
    <row r="40" spans="1:17" x14ac:dyDescent="0.25">
      <c r="A40" s="50"/>
      <c r="B40" s="38">
        <v>46108</v>
      </c>
      <c r="C40" s="38" t="s">
        <v>9</v>
      </c>
      <c r="D40" t="str">
        <f>_xlfn.XLOOKUP(B40,'Holidays 2026'!$A$2:$A$27,'Holidays 2026'!$G$2:$G$27,"Regular",0,1)</f>
        <v>Regular</v>
      </c>
      <c r="E40" t="s">
        <v>71</v>
      </c>
      <c r="F40" t="str">
        <f t="shared" si="2"/>
        <v>No</v>
      </c>
      <c r="G40" cm="1">
        <f t="array" ref="G40">_xlfn.IFS(OR(E40="Worked",E40="Approved Sick Leave",E40="Approved Vacation Leave",E40="Holiday"),8,E40="","",OR(E40="Absent",E40="Rest Day",E40="Sick Leave Without Pay",E40="Vacation Leave Without Pay"),0)</f>
        <v>8</v>
      </c>
      <c r="H40">
        <v>0</v>
      </c>
      <c r="I40">
        <v>0</v>
      </c>
      <c r="J40">
        <v>0</v>
      </c>
      <c r="K40" s="40" t="str">
        <f t="shared" si="3"/>
        <v>7</v>
      </c>
      <c r="M40" cm="1">
        <f t="array" ref="M40">_xlfn.IFS(
OR(E40="Absent",
   E40="Sick Leave Without Pay",
   E40="Vacation Leave Without Pay",
   E40="Rest Day"), 0,
OR(E40="Approved Sick Leave",
   E40="Approved Vacation Leave"), 1,
D40="Regular Non-Working Holiday",
    IF(E40="Worked",
        IF(F40="Yes",2.6,2),
        1),
D40="Regular Working Holiday",
    IF(E40="Worked",
        IF(F40="Yes",2.6,2),
        1),
D40="Special Non-Working Holiday",
    IF(E40="Worked",
        IF(F40="Yes",1.5,1.3),
        0),
D40="Special Working Holiday",
    1,
D40="Regular",
    IF(F40="Yes",
        IF(E40="Worked",1.3,0),
        IF(E40="Worked",1,0)
    )
)</f>
        <v>1</v>
      </c>
      <c r="N40" cm="1">
        <f t="array" ref="N40">_xlfn.IFS(
F40="No",
    _xlfn.IFS(
        D40="Regular", 1.25,
        OR(D40="Special Working Holiday", D40="Special Non-Working Holiday"), 1.3*1.3,
        OR(D40="Regular Working Holiday", D40="Regular Non-Working Holiday"), 2*1.3
    ),
F40="Yes",
    _xlfn.IFS(
        D40="Regular", 1.3*1.3,
        OR(D40="Special Working Holiday", D40="Special Non-Working Holiday"), 1.5*1.3,
        OR(D40="Regular Working Holiday", D40="Regular Non-Working Holiday"), 2.6*1.3
    )
)</f>
        <v>1.25</v>
      </c>
      <c r="O40" s="9">
        <f t="shared" si="4"/>
        <v>800</v>
      </c>
      <c r="P40" t="str" cm="1">
        <f t="array" ref="P40">_xlfn.IFS(
  OR(DAY(B40)=5, DAY(B40)=20), "Cut-off", OR(DAY(B40)=6, DAY(B40)=21), "Start",
  OR(
     DAY(B40)=15,
     DAY(B40)=30, AND(MONTH(B40)=2,DAY(B40)=DAY(EOMONTH(B40,0)))
  ), "Payday",
  TRUE, ""
)</f>
        <v/>
      </c>
    </row>
    <row r="41" spans="1:17" x14ac:dyDescent="0.25">
      <c r="A41" s="50"/>
      <c r="B41" s="38">
        <v>46109</v>
      </c>
      <c r="C41" s="38" t="s">
        <v>9</v>
      </c>
      <c r="D41" t="str">
        <f>_xlfn.XLOOKUP(B41,'Holidays 2026'!$A$2:$A$27,'Holidays 2026'!$G$2:$G$27,"Regular",0,1)</f>
        <v>Regular</v>
      </c>
      <c r="E41" t="s">
        <v>82</v>
      </c>
      <c r="F41" t="str">
        <f t="shared" si="2"/>
        <v>Yes</v>
      </c>
      <c r="G41" cm="1">
        <f t="array" ref="G41">_xlfn.IFS(OR(E41="Worked",E41="Approved Sick Leave",E41="Approved Vacation Leave",E41="Holiday"),8,E41="","",OR(E41="Absent",E41="Rest Day",E41="Sick Leave Without Pay",E41="Vacation Leave Without Pay"),0)</f>
        <v>0</v>
      </c>
      <c r="H41">
        <v>0</v>
      </c>
      <c r="I41">
        <v>0</v>
      </c>
      <c r="J41">
        <v>0</v>
      </c>
      <c r="K41" s="40">
        <f t="shared" si="3"/>
        <v>0</v>
      </c>
      <c r="M41" cm="1">
        <f t="array" ref="M41">_xlfn.IFS(
OR(E41="Absent",
   E41="Sick Leave Without Pay",
   E41="Vacation Leave Without Pay",
   E41="Rest Day"), 0,
OR(E41="Approved Sick Leave",
   E41="Approved Vacation Leave"), 1,
D41="Regular Non-Working Holiday",
    IF(E41="Worked",
        IF(F41="Yes",2.6,2),
        1),
D41="Regular Working Holiday",
    IF(E41="Worked",
        IF(F41="Yes",2.6,2),
        1),
D41="Special Non-Working Holiday",
    IF(E41="Worked",
        IF(F41="Yes",1.5,1.3),
        0),
D41="Special Working Holiday",
    1,
D41="Regular",
    IF(F41="Yes",
        IF(E41="Worked",1.3,0),
        IF(E41="Worked",1,0)
    )
)</f>
        <v>0</v>
      </c>
      <c r="N41" cm="1">
        <f t="array" ref="N41">_xlfn.IFS(
F41="No",
    _xlfn.IFS(
        D41="Regular", 1.25,
        OR(D41="Special Working Holiday", D41="Special Non-Working Holiday"), 1.3*1.3,
        OR(D41="Regular Working Holiday", D41="Regular Non-Working Holiday"), 2*1.3
    ),
F41="Yes",
    _xlfn.IFS(
        D41="Regular", 1.3*1.3,
        OR(D41="Special Working Holiday", D41="Special Non-Working Holiday"), 1.5*1.3,
        OR(D41="Regular Working Holiday", D41="Regular Non-Working Holiday"), 2.6*1.3
    )
)</f>
        <v>1.6900000000000002</v>
      </c>
      <c r="O41" s="9">
        <f t="shared" si="4"/>
        <v>0</v>
      </c>
      <c r="P41" t="str" cm="1">
        <f t="array" ref="P41">_xlfn.IFS(
  OR(DAY(B41)=5, DAY(B41)=20), "Cut-off", OR(DAY(B41)=6, DAY(B41)=21), "Start",
  OR(
     DAY(B41)=15,
     DAY(B41)=30, AND(MONTH(B41)=2,DAY(B41)=DAY(EOMONTH(B41,0)))
  ), "Payday",
  TRUE, ""
)</f>
        <v/>
      </c>
    </row>
    <row r="42" spans="1:17" x14ac:dyDescent="0.25">
      <c r="A42" s="50"/>
      <c r="B42" s="38">
        <v>46110</v>
      </c>
      <c r="C42" s="38" t="s">
        <v>9</v>
      </c>
      <c r="D42" t="str">
        <f>_xlfn.XLOOKUP(B42,'Holidays 2026'!$A$2:$A$27,'Holidays 2026'!$G$2:$G$27,"Regular",0,1)</f>
        <v>Regular</v>
      </c>
      <c r="E42" t="s">
        <v>82</v>
      </c>
      <c r="F42" t="str">
        <f t="shared" si="2"/>
        <v>Yes</v>
      </c>
      <c r="G42" cm="1">
        <f t="array" ref="G42">_xlfn.IFS(OR(E42="Worked",E42="Approved Sick Leave",E42="Approved Vacation Leave",E42="Holiday"),8,E42="","",OR(E42="Absent",E42="Rest Day",E42="Sick Leave Without Pay",E42="Vacation Leave Without Pay"),0)</f>
        <v>0</v>
      </c>
      <c r="H42">
        <v>0</v>
      </c>
      <c r="I42">
        <v>0</v>
      </c>
      <c r="J42">
        <v>0</v>
      </c>
      <c r="K42" s="40">
        <f t="shared" si="3"/>
        <v>0</v>
      </c>
      <c r="M42" cm="1">
        <f t="array" ref="M42">_xlfn.IFS(
OR(E42="Absent",
   E42="Sick Leave Without Pay",
   E42="Vacation Leave Without Pay",
   E42="Rest Day"), 0,
OR(E42="Approved Sick Leave",
   E42="Approved Vacation Leave"), 1,
D42="Regular Non-Working Holiday",
    IF(E42="Worked",
        IF(F42="Yes",2.6,2),
        1),
D42="Regular Working Holiday",
    IF(E42="Worked",
        IF(F42="Yes",2.6,2),
        1),
D42="Special Non-Working Holiday",
    IF(E42="Worked",
        IF(F42="Yes",1.5,1.3),
        0),
D42="Special Working Holiday",
    1,
D42="Regular",
    IF(F42="Yes",
        IF(E42="Worked",1.3,0),
        IF(E42="Worked",1,0)
    )
)</f>
        <v>0</v>
      </c>
      <c r="N42" cm="1">
        <f t="array" ref="N42">_xlfn.IFS(
F42="No",
    _xlfn.IFS(
        D42="Regular", 1.25,
        OR(D42="Special Working Holiday", D42="Special Non-Working Holiday"), 1.3*1.3,
        OR(D42="Regular Working Holiday", D42="Regular Non-Working Holiday"), 2*1.3
    ),
F42="Yes",
    _xlfn.IFS(
        D42="Regular", 1.3*1.3,
        OR(D42="Special Working Holiday", D42="Special Non-Working Holiday"), 1.5*1.3,
        OR(D42="Regular Working Holiday", D42="Regular Non-Working Holiday"), 2.6*1.3
    )
)</f>
        <v>1.6900000000000002</v>
      </c>
      <c r="O42" s="9">
        <f t="shared" si="4"/>
        <v>0</v>
      </c>
      <c r="P42" t="str" cm="1">
        <f t="array" ref="P42">_xlfn.IFS(
  OR(DAY(B42)=5, DAY(B42)=20), "Cut-off", OR(DAY(B42)=6, DAY(B42)=21), "Start",
  OR(
     DAY(B42)=15,
     DAY(B42)=30, AND(MONTH(B42)=2,DAY(B42)=DAY(EOMONTH(B42,0)))
  ), "Payday",
  TRUE, ""
)</f>
        <v/>
      </c>
    </row>
    <row r="43" spans="1:17" x14ac:dyDescent="0.25">
      <c r="A43" s="50"/>
      <c r="B43" s="38">
        <v>46111</v>
      </c>
      <c r="C43" s="38" t="s">
        <v>9</v>
      </c>
      <c r="D43" t="str">
        <f>_xlfn.XLOOKUP(B43,'Holidays 2026'!$A$2:$A$27,'Holidays 2026'!$G$2:$G$27,"Regular",0,1)</f>
        <v>Regular</v>
      </c>
      <c r="E43" t="s">
        <v>71</v>
      </c>
      <c r="F43" t="str">
        <f t="shared" si="2"/>
        <v>No</v>
      </c>
      <c r="G43" cm="1">
        <f t="array" ref="G43">_xlfn.IFS(OR(E43="Worked",E43="Approved Sick Leave",E43="Approved Vacation Leave",E43="Holiday"),8,E43="","",OR(E43="Absent",E43="Rest Day",E43="Sick Leave Without Pay",E43="Vacation Leave Without Pay"),0)</f>
        <v>8</v>
      </c>
      <c r="H43">
        <v>0</v>
      </c>
      <c r="I43">
        <v>0</v>
      </c>
      <c r="J43">
        <v>0</v>
      </c>
      <c r="K43" s="40" t="str">
        <f t="shared" si="3"/>
        <v>7</v>
      </c>
      <c r="M43" cm="1">
        <f t="array" ref="M43">_xlfn.IFS(
OR(E43="Absent",
   E43="Sick Leave Without Pay",
   E43="Vacation Leave Without Pay",
   E43="Rest Day"), 0,
OR(E43="Approved Sick Leave",
   E43="Approved Vacation Leave"), 1,
D43="Regular Non-Working Holiday",
    IF(E43="Worked",
        IF(F43="Yes",2.6,2),
        1),
D43="Regular Working Holiday",
    IF(E43="Worked",
        IF(F43="Yes",2.6,2),
        1),
D43="Special Non-Working Holiday",
    IF(E43="Worked",
        IF(F43="Yes",1.5,1.3),
        0),
D43="Special Working Holiday",
    1,
D43="Regular",
    IF(F43="Yes",
        IF(E43="Worked",1.3,0),
        IF(E43="Worked",1,0)
    )
)</f>
        <v>1</v>
      </c>
      <c r="N43" cm="1">
        <f t="array" ref="N43">_xlfn.IFS(
F43="No",
    _xlfn.IFS(
        D43="Regular", 1.25,
        OR(D43="Special Working Holiday", D43="Special Non-Working Holiday"), 1.3*1.3,
        OR(D43="Regular Working Holiday", D43="Regular Non-Working Holiday"), 2*1.3
    ),
F43="Yes",
    _xlfn.IFS(
        D43="Regular", 1.3*1.3,
        OR(D43="Special Working Holiday", D43="Special Non-Working Holiday"), 1.5*1.3,
        OR(D43="Regular Working Holiday", D43="Regular Non-Working Holiday"), 2.6*1.3
    )
)</f>
        <v>1.25</v>
      </c>
      <c r="O43" s="9">
        <f t="shared" si="4"/>
        <v>800</v>
      </c>
      <c r="P43" t="str" cm="1">
        <f t="array" ref="P43">_xlfn.IFS(
  OR(DAY(B43)=5, DAY(B43)=20), "Cut-off", OR(DAY(B43)=6, DAY(B43)=21), "Start",
  OR(
     DAY(B43)=15,
     DAY(B43)=30, AND(MONTH(B43)=2,DAY(B43)=DAY(EOMONTH(B43,0)))
  ), "Payday",
  TRUE, ""
)</f>
        <v>Payday</v>
      </c>
      <c r="Q43" s="9">
        <f>SUM(O19:O33)</f>
        <v>9535.6321839080465</v>
      </c>
    </row>
    <row r="44" spans="1:17" x14ac:dyDescent="0.25">
      <c r="A44" s="50"/>
      <c r="B44" s="38">
        <v>46112</v>
      </c>
      <c r="C44" s="38" t="s">
        <v>9</v>
      </c>
      <c r="D44" t="str">
        <f>_xlfn.XLOOKUP(B44,'Holidays 2026'!$A$2:$A$27,'Holidays 2026'!$G$2:$G$27,"Regular",0,1)</f>
        <v>Regular</v>
      </c>
      <c r="E44" t="s">
        <v>71</v>
      </c>
      <c r="F44" t="str">
        <f t="shared" si="2"/>
        <v>No</v>
      </c>
      <c r="G44" cm="1">
        <f t="array" ref="G44">_xlfn.IFS(OR(E44="Worked",E44="Approved Sick Leave",E44="Approved Vacation Leave",E44="Holiday"),8,E44="","",OR(E44="Absent",E44="Rest Day",E44="Sick Leave Without Pay",E44="Vacation Leave Without Pay"),0)</f>
        <v>8</v>
      </c>
      <c r="H44">
        <v>0</v>
      </c>
      <c r="I44">
        <v>0</v>
      </c>
      <c r="J44">
        <v>0</v>
      </c>
      <c r="K44" s="40" t="str">
        <f t="shared" si="3"/>
        <v>7</v>
      </c>
      <c r="M44" cm="1">
        <f t="array" ref="M44">_xlfn.IFS(
OR(E44="Absent",
   E44="Sick Leave Without Pay",
   E44="Vacation Leave Without Pay",
   E44="Rest Day"), 0,
OR(E44="Approved Sick Leave",
   E44="Approved Vacation Leave"), 1,
D44="Regular Non-Working Holiday",
    IF(E44="Worked",
        IF(F44="Yes",2.6,2),
        1),
D44="Regular Working Holiday",
    IF(E44="Worked",
        IF(F44="Yes",2.6,2),
        1),
D44="Special Non-Working Holiday",
    IF(E44="Worked",
        IF(F44="Yes",1.5,1.3),
        0),
D44="Special Working Holiday",
    1,
D44="Regular",
    IF(F44="Yes",
        IF(E44="Worked",1.3,0),
        IF(E44="Worked",1,0)
    )
)</f>
        <v>1</v>
      </c>
      <c r="N44" cm="1">
        <f t="array" ref="N44">_xlfn.IFS(
F44="No",
    _xlfn.IFS(
        D44="Regular", 1.25,
        OR(D44="Special Working Holiday", D44="Special Non-Working Holiday"), 1.3*1.3,
        OR(D44="Regular Working Holiday", D44="Regular Non-Working Holiday"), 2*1.3
    ),
F44="Yes",
    _xlfn.IFS(
        D44="Regular", 1.3*1.3,
        OR(D44="Special Working Holiday", D44="Special Non-Working Holiday"), 1.5*1.3,
        OR(D44="Regular Working Holiday", D44="Regular Non-Working Holiday"), 2.6*1.3
    )
)</f>
        <v>1.25</v>
      </c>
      <c r="O44" s="9">
        <f t="shared" si="4"/>
        <v>800</v>
      </c>
      <c r="P44" t="str" cm="1">
        <f t="array" ref="P44">_xlfn.IFS(
  OR(DAY(B44)=5, DAY(B44)=20), "Cut-off", OR(DAY(B44)=6, DAY(B44)=21), "Start",
  OR(
     DAY(B44)=15,
     DAY(B44)=30, AND(MONTH(B44)=2,DAY(B44)=DAY(EOMONTH(B44,0)))
  ), "Payday",
  TRUE, ""
)</f>
        <v/>
      </c>
    </row>
    <row r="45" spans="1:17" x14ac:dyDescent="0.25">
      <c r="A45" s="49" t="s">
        <v>92</v>
      </c>
      <c r="B45" s="38">
        <v>46113</v>
      </c>
      <c r="C45" s="38" t="s">
        <v>10</v>
      </c>
      <c r="D45" t="str">
        <f>_xlfn.XLOOKUP(B45,'Holidays 2026'!$A$2:$A$27,'Holidays 2026'!$G$2:$G$27,"Regular",0,1)</f>
        <v>Regular</v>
      </c>
      <c r="E45" t="s">
        <v>71</v>
      </c>
      <c r="F45" t="str">
        <f t="shared" si="2"/>
        <v>No</v>
      </c>
      <c r="G45" cm="1">
        <f t="array" ref="G45">_xlfn.IFS(OR(E45="Worked",E45="Approved Sick Leave",E45="Approved Vacation Leave",E45="Holiday"),8,E45="","",OR(E45="Absent",E45="Rest Day",E45="Sick Leave Without Pay",E45="Vacation Leave Without Pay"),0)</f>
        <v>8</v>
      </c>
      <c r="H45">
        <v>0</v>
      </c>
      <c r="I45">
        <v>0</v>
      </c>
      <c r="J45">
        <v>0</v>
      </c>
      <c r="K45" s="40" t="str">
        <f t="shared" si="3"/>
        <v>7</v>
      </c>
      <c r="M45" cm="1">
        <f t="array" ref="M45">_xlfn.IFS(
OR(E45="Absent",
   E45="Sick Leave Without Pay",
   E45="Vacation Leave Without Pay",
   E45="Rest Day"), 0,
OR(E45="Approved Sick Leave",
   E45="Approved Vacation Leave"), 1,
D45="Regular Non-Working Holiday",
    IF(E45="Worked",
        IF(F45="Yes",2.6,2),
        1),
D45="Regular Working Holiday",
    IF(E45="Worked",
        IF(F45="Yes",2.6,2),
        1),
D45="Special Non-Working Holiday",
    IF(E45="Worked",
        IF(F45="Yes",1.5,1.3),
        0),
D45="Special Working Holiday",
    1,
D45="Regular",
    IF(F45="Yes",
        IF(E45="Worked",1.3,0),
        IF(E45="Worked",1,0)
    )
)</f>
        <v>1</v>
      </c>
      <c r="N45" cm="1">
        <f t="array" ref="N45">_xlfn.IFS(
F45="No",
    _xlfn.IFS(
        D45="Regular", 1.25,
        OR(D45="Special Working Holiday", D45="Special Non-Working Holiday"), 1.3*1.3,
        OR(D45="Regular Working Holiday", D45="Regular Non-Working Holiday"), 2*1.3
    ),
F45="Yes",
    _xlfn.IFS(
        D45="Regular", 1.3*1.3,
        OR(D45="Special Working Holiday", D45="Special Non-Working Holiday"), 1.5*1.3,
        OR(D45="Regular Working Holiday", D45="Regular Non-Working Holiday"), 2.6*1.3
    )
)</f>
        <v>1.25</v>
      </c>
      <c r="O45" s="9">
        <f t="shared" si="4"/>
        <v>800</v>
      </c>
      <c r="P45" t="str" cm="1">
        <f t="array" ref="P45">_xlfn.IFS(
  OR(DAY(B45)=5, DAY(B45)=20), "Cut-off", OR(DAY(B45)=6, DAY(B45)=21), "Start",
  OR(
     DAY(B45)=15,
     DAY(B45)=30, AND(MONTH(B45)=2,DAY(B45)=DAY(EOMONTH(B45,0)))
  ), "Payday",
  TRUE, ""
)</f>
        <v/>
      </c>
    </row>
    <row r="46" spans="1:17" x14ac:dyDescent="0.25">
      <c r="A46" s="49"/>
      <c r="B46" s="38">
        <v>46114</v>
      </c>
      <c r="C46" s="38" t="s">
        <v>10</v>
      </c>
      <c r="D46" t="str">
        <f>_xlfn.XLOOKUP(B46,'Holidays 2026'!$A$2:$A$27,'Holidays 2026'!$G$2:$G$27,"Regular",0,1)</f>
        <v>Regular Non-Working Holiday</v>
      </c>
      <c r="E46" t="s">
        <v>71</v>
      </c>
      <c r="F46" t="str">
        <f t="shared" si="2"/>
        <v>No</v>
      </c>
      <c r="G46" cm="1">
        <f t="array" ref="G46">_xlfn.IFS(OR(E46="Worked",E46="Approved Sick Leave",E46="Approved Vacation Leave",E46="Holiday"),8,E46="","",OR(E46="Absent",E46="Rest Day",E46="Sick Leave Without Pay",E46="Vacation Leave Without Pay"),0)</f>
        <v>8</v>
      </c>
      <c r="H46">
        <v>0</v>
      </c>
      <c r="I46">
        <v>0</v>
      </c>
      <c r="J46">
        <v>0</v>
      </c>
      <c r="K46" s="40" t="str">
        <f t="shared" si="3"/>
        <v>7</v>
      </c>
      <c r="M46" cm="1">
        <f t="array" ref="M46">_xlfn.IFS(
OR(E46="Absent",
   E46="Sick Leave Without Pay",
   E46="Vacation Leave Without Pay",
   E46="Rest Day"), 0,
OR(E46="Approved Sick Leave",
   E46="Approved Vacation Leave"), 1,
D46="Regular Non-Working Holiday",
    IF(E46="Worked",
        IF(F46="Yes",2.6,2),
        1),
D46="Regular Working Holiday",
    IF(E46="Worked",
        IF(F46="Yes",2.6,2),
        1),
D46="Special Non-Working Holiday",
    IF(E46="Worked",
        IF(F46="Yes",1.5,1.3),
        0),
D46="Special Working Holiday",
    1,
D46="Regular",
    IF(F46="Yes",
        IF(E46="Worked",1.3,0),
        IF(E46="Worked",1,0)
    )
)</f>
        <v>2</v>
      </c>
      <c r="N46" cm="1">
        <f t="array" ref="N46">_xlfn.IFS(
F46="No",
    _xlfn.IFS(
        D46="Regular", 1.25,
        OR(D46="Special Working Holiday", D46="Special Non-Working Holiday"), 1.3*1.3,
        OR(D46="Regular Working Holiday", D46="Regular Non-Working Holiday"), 2*1.3
    ),
F46="Yes",
    _xlfn.IFS(
        D46="Regular", 1.3*1.3,
        OR(D46="Special Working Holiday", D46="Special Non-Working Holiday"), 1.5*1.3,
        OR(D46="Regular Working Holiday", D46="Regular Non-Working Holiday"), 2.6*1.3
    )
)</f>
        <v>2.6</v>
      </c>
      <c r="O46" s="9">
        <f t="shared" si="4"/>
        <v>1535.6321839080458</v>
      </c>
      <c r="P46" t="str" cm="1">
        <f t="array" ref="P46">_xlfn.IFS(
  OR(DAY(B46)=5, DAY(B46)=20), "Cut-off", OR(DAY(B46)=6, DAY(B46)=21), "Start",
  OR(
     DAY(B46)=15,
     DAY(B46)=30, AND(MONTH(B46)=2,DAY(B46)=DAY(EOMONTH(B46,0)))
  ), "Payday",
  TRUE, ""
)</f>
        <v/>
      </c>
    </row>
    <row r="47" spans="1:17" x14ac:dyDescent="0.25">
      <c r="A47" s="49"/>
      <c r="B47" s="38">
        <v>46115</v>
      </c>
      <c r="C47" s="38" t="s">
        <v>10</v>
      </c>
      <c r="D47" t="str">
        <f>_xlfn.XLOOKUP(B47,'Holidays 2026'!$A$2:$A$27,'Holidays 2026'!$G$2:$G$27,"Regular",0,1)</f>
        <v>Regular Non-Working Holiday</v>
      </c>
      <c r="E47" t="s">
        <v>93</v>
      </c>
      <c r="F47" t="str">
        <f t="shared" si="2"/>
        <v>No</v>
      </c>
      <c r="G47" cm="1">
        <f t="array" ref="G47">_xlfn.IFS(OR(E47="Worked",E47="Approved Sick Leave",E47="Approved Vacation Leave",E47="Holiday"),8,E47="","",OR(E47="Absent",E47="Rest Day",E47="Sick Leave Without Pay",E47="Vacation Leave Without Pay"),0)</f>
        <v>8</v>
      </c>
      <c r="H47">
        <v>0</v>
      </c>
      <c r="I47">
        <v>0</v>
      </c>
      <c r="J47">
        <v>0</v>
      </c>
      <c r="K47" s="40" t="str">
        <f t="shared" si="3"/>
        <v>7</v>
      </c>
      <c r="M47" cm="1">
        <f t="array" ref="M47">_xlfn.IFS(
OR(E47="Absent",
   E47="Sick Leave Without Pay",
   E47="Vacation Leave Without Pay",
   E47="Rest Day"), 0,
OR(E47="Approved Sick Leave",
   E47="Approved Vacation Leave"), 1,
D47="Regular Non-Working Holiday",
    IF(E47="Worked",
        IF(F47="Yes",2.6,2),
        1),
D47="Regular Working Holiday",
    IF(E47="Worked",
        IF(F47="Yes",2.6,2),
        1),
D47="Special Non-Working Holiday",
    IF(E47="Worked",
        IF(F47="Yes",1.5,1.3),
        0),
D47="Special Working Holiday",
    1,
D47="Regular",
    IF(F47="Yes",
        IF(E47="Worked",1.3,0),
        IF(E47="Worked",1,0)
    )
)</f>
        <v>1</v>
      </c>
      <c r="N47" cm="1">
        <f t="array" ref="N47">_xlfn.IFS(
F47="No",
    _xlfn.IFS(
        D47="Regular", 1.25,
        OR(D47="Special Working Holiday", D47="Special Non-Working Holiday"), 1.3*1.3,
        OR(D47="Regular Working Holiday", D47="Regular Non-Working Holiday"), 2*1.3
    ),
F47="Yes",
    _xlfn.IFS(
        D47="Regular", 1.3*1.3,
        OR(D47="Special Working Holiday", D47="Special Non-Working Holiday"), 1.5*1.3,
        OR(D47="Regular Working Holiday", D47="Regular Non-Working Holiday"), 2.6*1.3
    )
)</f>
        <v>2.6</v>
      </c>
      <c r="O47" s="9">
        <f t="shared" si="4"/>
        <v>800</v>
      </c>
      <c r="P47" t="str" cm="1">
        <f t="array" ref="P47">_xlfn.IFS(
  OR(DAY(B47)=5, DAY(B47)=20), "Cut-off", OR(DAY(B47)=6, DAY(B47)=21), "Start",
  OR(
     DAY(B47)=15,
     DAY(B47)=30, AND(MONTH(B47)=2,DAY(B47)=DAY(EOMONTH(B47,0)))
  ), "Payday",
  TRUE, ""
)</f>
        <v/>
      </c>
    </row>
    <row r="48" spans="1:17" x14ac:dyDescent="0.25">
      <c r="A48" s="49"/>
      <c r="B48" s="38">
        <v>46116</v>
      </c>
      <c r="C48" s="38" t="s">
        <v>10</v>
      </c>
      <c r="D48" t="str">
        <f>_xlfn.XLOOKUP(B48,'Holidays 2026'!$A$2:$A$27,'Holidays 2026'!$G$2:$G$27,"Regular",0,1)</f>
        <v>Special Working Holiday</v>
      </c>
      <c r="E48" t="s">
        <v>71</v>
      </c>
      <c r="F48" t="str">
        <f t="shared" si="2"/>
        <v>Yes</v>
      </c>
      <c r="G48" cm="1">
        <f t="array" ref="G48">_xlfn.IFS(OR(E48="Worked",E48="Approved Sick Leave",E48="Approved Vacation Leave",E48="Holiday"),8,E48="","",OR(E48="Absent",E48="Rest Day",E48="Sick Leave Without Pay",E48="Vacation Leave Without Pay"),0)</f>
        <v>8</v>
      </c>
      <c r="H48">
        <v>0</v>
      </c>
      <c r="I48">
        <v>0</v>
      </c>
      <c r="J48">
        <v>0</v>
      </c>
      <c r="K48" s="40" t="str">
        <f t="shared" si="3"/>
        <v>7</v>
      </c>
      <c r="M48" cm="1">
        <f t="array" ref="M48">_xlfn.IFS(
OR(E48="Absent",
   E48="Sick Leave Without Pay",
   E48="Vacation Leave Without Pay",
   E48="Rest Day"), 0,
OR(E48="Approved Sick Leave",
   E48="Approved Vacation Leave"), 1,
D48="Regular Non-Working Holiday",
    IF(E48="Worked",
        IF(F48="Yes",2.6,2),
        1),
D48="Regular Working Holiday",
    IF(E48="Worked",
        IF(F48="Yes",2.6,2),
        1),
D48="Special Non-Working Holiday",
    IF(E48="Worked",
        IF(F48="Yes",1.5,1.3),
        0),
D48="Special Working Holiday",
    1,
D48="Regular",
    IF(F48="Yes",
        IF(E48="Worked",1.3,0),
        IF(E48="Worked",1,0)
    )
)</f>
        <v>1</v>
      </c>
      <c r="N48" cm="1">
        <f t="array" ref="N48">_xlfn.IFS(
F48="No",
    _xlfn.IFS(
        D48="Regular", 1.25,
        OR(D48="Special Working Holiday", D48="Special Non-Working Holiday"), 1.3*1.3,
        OR(D48="Regular Working Holiday", D48="Regular Non-Working Holiday"), 2*1.3
    ),
F48="Yes",
    _xlfn.IFS(
        D48="Regular", 1.3*1.3,
        OR(D48="Special Working Holiday", D48="Special Non-Working Holiday"), 1.5*1.3,
        OR(D48="Regular Working Holiday", D48="Regular Non-Working Holiday"), 2.6*1.3
    )
)</f>
        <v>1.9500000000000002</v>
      </c>
      <c r="O48" s="9">
        <f t="shared" si="4"/>
        <v>800</v>
      </c>
      <c r="P48" t="str" cm="1">
        <f t="array" ref="P48">_xlfn.IFS(
  OR(DAY(B48)=5, DAY(B48)=20), "Cut-off", OR(DAY(B48)=6, DAY(B48)=21), "Start",
  OR(
     DAY(B48)=15,
     DAY(B48)=30, AND(MONTH(B48)=2,DAY(B48)=DAY(EOMONTH(B48,0)))
  ), "Payday",
  TRUE, ""
)</f>
        <v/>
      </c>
    </row>
    <row r="49" spans="1:17" x14ac:dyDescent="0.25">
      <c r="A49" s="49"/>
      <c r="B49" s="38">
        <v>46117</v>
      </c>
      <c r="C49" s="38" t="s">
        <v>10</v>
      </c>
      <c r="D49" t="str">
        <f>_xlfn.XLOOKUP(B49,'Holidays 2026'!$A$2:$A$27,'Holidays 2026'!$G$2:$G$27,"Regular",0,1)</f>
        <v>Regular</v>
      </c>
      <c r="E49" t="s">
        <v>82</v>
      </c>
      <c r="F49" t="str">
        <f t="shared" si="2"/>
        <v>Yes</v>
      </c>
      <c r="G49" cm="1">
        <f t="array" ref="G49">_xlfn.IFS(OR(E49="Worked",E49="Approved Sick Leave",E49="Approved Vacation Leave",E49="Holiday"),8,E49="","",OR(E49="Absent",E49="Rest Day",E49="Sick Leave Without Pay",E49="Vacation Leave Without Pay"),0)</f>
        <v>0</v>
      </c>
      <c r="H49">
        <v>0</v>
      </c>
      <c r="I49">
        <v>0</v>
      </c>
      <c r="J49">
        <v>0</v>
      </c>
      <c r="K49" s="40">
        <f t="shared" si="3"/>
        <v>0</v>
      </c>
      <c r="M49" cm="1">
        <f t="array" ref="M49">_xlfn.IFS(
OR(E49="Absent",
   E49="Sick Leave Without Pay",
   E49="Vacation Leave Without Pay",
   E49="Rest Day"), 0,
OR(E49="Approved Sick Leave",
   E49="Approved Vacation Leave"), 1,
D49="Regular Non-Working Holiday",
    IF(E49="Worked",
        IF(F49="Yes",2.6,2),
        1),
D49="Regular Working Holiday",
    IF(E49="Worked",
        IF(F49="Yes",2.6,2),
        1),
D49="Special Non-Working Holiday",
    IF(E49="Worked",
        IF(F49="Yes",1.5,1.3),
        0),
D49="Special Working Holiday",
    1,
D49="Regular",
    IF(F49="Yes",
        IF(E49="Worked",1.3,0),
        IF(E49="Worked",1,0)
    )
)</f>
        <v>0</v>
      </c>
      <c r="N49" cm="1">
        <f t="array" ref="N49">_xlfn.IFS(
F49="No",
    _xlfn.IFS(
        D49="Regular", 1.25,
        OR(D49="Special Working Holiday", D49="Special Non-Working Holiday"), 1.3*1.3,
        OR(D49="Regular Working Holiday", D49="Regular Non-Working Holiday"), 2*1.3
    ),
F49="Yes",
    _xlfn.IFS(
        D49="Regular", 1.3*1.3,
        OR(D49="Special Working Holiday", D49="Special Non-Working Holiday"), 1.5*1.3,
        OR(D49="Regular Working Holiday", D49="Regular Non-Working Holiday"), 2.6*1.3
    )
)</f>
        <v>1.6900000000000002</v>
      </c>
      <c r="O49" s="9">
        <f t="shared" si="4"/>
        <v>0</v>
      </c>
      <c r="P49" t="str" cm="1">
        <f t="array" ref="P49">_xlfn.IFS(
  OR(DAY(B49)=5, DAY(B49)=20), "Cut-off", OR(DAY(B49)=6, DAY(B49)=21), "Start",
  OR(
     DAY(B49)=15,
     DAY(B49)=30, AND(MONTH(B49)=2,DAY(B49)=DAY(EOMONTH(B49,0)))
  ), "Payday",
  TRUE, ""
)</f>
        <v>Cut-off</v>
      </c>
    </row>
    <row r="50" spans="1:17" x14ac:dyDescent="0.25">
      <c r="A50" s="49"/>
      <c r="B50" s="38">
        <v>46118</v>
      </c>
      <c r="C50" s="38" t="s">
        <v>10</v>
      </c>
      <c r="D50" t="str">
        <f>_xlfn.XLOOKUP(B50,'Holidays 2026'!$A$2:$A$27,'Holidays 2026'!$G$2:$G$27,"Regular",0,1)</f>
        <v>Regular</v>
      </c>
      <c r="E50" t="s">
        <v>71</v>
      </c>
      <c r="F50" t="str">
        <f t="shared" si="2"/>
        <v>No</v>
      </c>
      <c r="G50" cm="1">
        <f t="array" ref="G50">_xlfn.IFS(OR(E50="Worked",E50="Approved Sick Leave",E50="Approved Vacation Leave",E50="Holiday"),8,E50="","",OR(E50="Absent",E50="Rest Day",E50="Sick Leave Without Pay",E50="Vacation Leave Without Pay"),0)</f>
        <v>8</v>
      </c>
      <c r="H50">
        <v>0</v>
      </c>
      <c r="I50">
        <v>0</v>
      </c>
      <c r="J50">
        <v>0</v>
      </c>
      <c r="K50" s="40" t="str">
        <f t="shared" si="3"/>
        <v>7</v>
      </c>
      <c r="M50" cm="1">
        <f t="array" ref="M50">_xlfn.IFS(
OR(E50="Absent",
   E50="Sick Leave Without Pay",
   E50="Vacation Leave Without Pay",
   E50="Rest Day"), 0,
OR(E50="Approved Sick Leave",
   E50="Approved Vacation Leave"), 1,
D50="Regular Non-Working Holiday",
    IF(E50="Worked",
        IF(F50="Yes",2.6,2),
        1),
D50="Regular Working Holiday",
    IF(E50="Worked",
        IF(F50="Yes",2.6,2),
        1),
D50="Special Non-Working Holiday",
    IF(E50="Worked",
        IF(F50="Yes",1.5,1.3),
        0),
D50="Special Working Holiday",
    1,
D50="Regular",
    IF(F50="Yes",
        IF(E50="Worked",1.3,0),
        IF(E50="Worked",1,0)
    )
)</f>
        <v>1</v>
      </c>
      <c r="N50" cm="1">
        <f t="array" ref="N50">_xlfn.IFS(
F50="No",
    _xlfn.IFS(
        D50="Regular", 1.25,
        OR(D50="Special Working Holiday", D50="Special Non-Working Holiday"), 1.3*1.3,
        OR(D50="Regular Working Holiday", D50="Regular Non-Working Holiday"), 2*1.3
    ),
F50="Yes",
    _xlfn.IFS(
        D50="Regular", 1.3*1.3,
        OR(D50="Special Working Holiday", D50="Special Non-Working Holiday"), 1.5*1.3,
        OR(D50="Regular Working Holiday", D50="Regular Non-Working Holiday"), 2.6*1.3
    )
)</f>
        <v>1.25</v>
      </c>
      <c r="O50" s="9">
        <f t="shared" si="4"/>
        <v>800</v>
      </c>
      <c r="P50" t="str" cm="1">
        <f t="array" ref="P50">_xlfn.IFS(
  OR(DAY(B50)=5, DAY(B50)=20), "Cut-off", OR(DAY(B50)=6, DAY(B50)=21), "Start",
  OR(
     DAY(B50)=15,
     DAY(B50)=30, AND(MONTH(B50)=2,DAY(B50)=DAY(EOMONTH(B50,0)))
  ), "Payday",
  TRUE, ""
)</f>
        <v>Start</v>
      </c>
    </row>
    <row r="51" spans="1:17" x14ac:dyDescent="0.25">
      <c r="A51" s="49"/>
      <c r="B51" s="38">
        <v>46119</v>
      </c>
      <c r="C51" s="38" t="s">
        <v>10</v>
      </c>
      <c r="D51" t="str">
        <f>_xlfn.XLOOKUP(B51,'Holidays 2026'!$A$2:$A$27,'Holidays 2026'!$G$2:$G$27,"Regular",0,1)</f>
        <v>Regular</v>
      </c>
      <c r="E51" t="s">
        <v>71</v>
      </c>
      <c r="F51" t="str">
        <f t="shared" si="2"/>
        <v>No</v>
      </c>
      <c r="G51" cm="1">
        <f t="array" ref="G51">_xlfn.IFS(OR(E51="Worked",E51="Approved Sick Leave",E51="Approved Vacation Leave",E51="Holiday"),8,E51="","",OR(E51="Absent",E51="Rest Day",E51="Sick Leave Without Pay",E51="Vacation Leave Without Pay"),0)</f>
        <v>8</v>
      </c>
      <c r="H51">
        <v>0</v>
      </c>
      <c r="I51">
        <v>0</v>
      </c>
      <c r="J51">
        <v>0</v>
      </c>
      <c r="K51" s="40" t="str">
        <f t="shared" si="3"/>
        <v>7</v>
      </c>
      <c r="M51" cm="1">
        <f t="array" ref="M51">_xlfn.IFS(
OR(E51="Absent",
   E51="Sick Leave Without Pay",
   E51="Vacation Leave Without Pay",
   E51="Rest Day"), 0,
OR(E51="Approved Sick Leave",
   E51="Approved Vacation Leave"), 1,
D51="Regular Non-Working Holiday",
    IF(E51="Worked",
        IF(F51="Yes",2.6,2),
        1),
D51="Regular Working Holiday",
    IF(E51="Worked",
        IF(F51="Yes",2.6,2),
        1),
D51="Special Non-Working Holiday",
    IF(E51="Worked",
        IF(F51="Yes",1.5,1.3),
        0),
D51="Special Working Holiday",
    1,
D51="Regular",
    IF(F51="Yes",
        IF(E51="Worked",1.3,0),
        IF(E51="Worked",1,0)
    )
)</f>
        <v>1</v>
      </c>
      <c r="N51" cm="1">
        <f t="array" ref="N51">_xlfn.IFS(
F51="No",
    _xlfn.IFS(
        D51="Regular", 1.25,
        OR(D51="Special Working Holiday", D51="Special Non-Working Holiday"), 1.3*1.3,
        OR(D51="Regular Working Holiday", D51="Regular Non-Working Holiday"), 2*1.3
    ),
F51="Yes",
    _xlfn.IFS(
        D51="Regular", 1.3*1.3,
        OR(D51="Special Working Holiday", D51="Special Non-Working Holiday"), 1.5*1.3,
        OR(D51="Regular Working Holiday", D51="Regular Non-Working Holiday"), 2.6*1.3
    )
)</f>
        <v>1.25</v>
      </c>
      <c r="O51" s="9">
        <f t="shared" si="4"/>
        <v>800</v>
      </c>
      <c r="P51" t="str" cm="1">
        <f t="array" ref="P51">_xlfn.IFS(
  OR(DAY(B51)=5, DAY(B51)=20), "Cut-off", OR(DAY(B51)=6, DAY(B51)=21), "Start",
  OR(
     DAY(B51)=15,
     DAY(B51)=30, AND(MONTH(B51)=2,DAY(B51)=DAY(EOMONTH(B51,0)))
  ), "Payday",
  TRUE, ""
)</f>
        <v/>
      </c>
    </row>
    <row r="52" spans="1:17" x14ac:dyDescent="0.25">
      <c r="A52" s="49"/>
      <c r="B52" s="38">
        <v>46120</v>
      </c>
      <c r="C52" s="38" t="s">
        <v>10</v>
      </c>
      <c r="D52" t="str">
        <f>_xlfn.XLOOKUP(B52,'Holidays 2026'!$A$2:$A$27,'Holidays 2026'!$G$2:$G$27,"Regular",0,1)</f>
        <v>Regular</v>
      </c>
      <c r="E52" t="s">
        <v>71</v>
      </c>
      <c r="F52" t="str">
        <f t="shared" si="2"/>
        <v>No</v>
      </c>
      <c r="G52" cm="1">
        <f t="array" ref="G52">_xlfn.IFS(OR(E52="Worked",E52="Approved Sick Leave",E52="Approved Vacation Leave",E52="Holiday"),8,E52="","",OR(E52="Absent",E52="Rest Day",E52="Sick Leave Without Pay",E52="Vacation Leave Without Pay"),0)</f>
        <v>8</v>
      </c>
      <c r="H52">
        <v>0</v>
      </c>
      <c r="I52">
        <v>0</v>
      </c>
      <c r="J52">
        <v>0</v>
      </c>
      <c r="K52" s="40" t="str">
        <f t="shared" si="3"/>
        <v>7</v>
      </c>
      <c r="M52" cm="1">
        <f t="array" ref="M52">_xlfn.IFS(
OR(E52="Absent",
   E52="Sick Leave Without Pay",
   E52="Vacation Leave Without Pay",
   E52="Rest Day"), 0,
OR(E52="Approved Sick Leave",
   E52="Approved Vacation Leave"), 1,
D52="Regular Non-Working Holiday",
    IF(E52="Worked",
        IF(F52="Yes",2.6,2),
        1),
D52="Regular Working Holiday",
    IF(E52="Worked",
        IF(F52="Yes",2.6,2),
        1),
D52="Special Non-Working Holiday",
    IF(E52="Worked",
        IF(F52="Yes",1.5,1.3),
        0),
D52="Special Working Holiday",
    1,
D52="Regular",
    IF(F52="Yes",
        IF(E52="Worked",1.3,0),
        IF(E52="Worked",1,0)
    )
)</f>
        <v>1</v>
      </c>
      <c r="N52" cm="1">
        <f t="array" ref="N52">_xlfn.IFS(
F52="No",
    _xlfn.IFS(
        D52="Regular", 1.25,
        OR(D52="Special Working Holiday", D52="Special Non-Working Holiday"), 1.3*1.3,
        OR(D52="Regular Working Holiday", D52="Regular Non-Working Holiday"), 2*1.3
    ),
F52="Yes",
    _xlfn.IFS(
        D52="Regular", 1.3*1.3,
        OR(D52="Special Working Holiday", D52="Special Non-Working Holiday"), 1.5*1.3,
        OR(D52="Regular Working Holiday", D52="Regular Non-Working Holiday"), 2.6*1.3
    )
)</f>
        <v>1.25</v>
      </c>
      <c r="O52" s="9">
        <f t="shared" si="4"/>
        <v>800</v>
      </c>
      <c r="P52" t="str" cm="1">
        <f t="array" ref="P52">_xlfn.IFS(
  OR(DAY(B52)=5, DAY(B52)=20), "Cut-off", OR(DAY(B52)=6, DAY(B52)=21), "Start",
  OR(
     DAY(B52)=15,
     DAY(B52)=30, AND(MONTH(B52)=2,DAY(B52)=DAY(EOMONTH(B52,0)))
  ), "Payday",
  TRUE, ""
)</f>
        <v/>
      </c>
    </row>
    <row r="53" spans="1:17" x14ac:dyDescent="0.25">
      <c r="A53" s="49"/>
      <c r="B53" s="38">
        <v>46121</v>
      </c>
      <c r="C53" s="38" t="s">
        <v>10</v>
      </c>
      <c r="D53" t="str">
        <f>_xlfn.XLOOKUP(B53,'Holidays 2026'!$A$2:$A$27,'Holidays 2026'!$G$2:$G$27,"Regular",0,1)</f>
        <v>Regular Working Holiday</v>
      </c>
      <c r="E53" t="s">
        <v>71</v>
      </c>
      <c r="F53" t="str">
        <f t="shared" si="2"/>
        <v>No</v>
      </c>
      <c r="G53" cm="1">
        <f t="array" ref="G53">_xlfn.IFS(OR(E53="Worked",E53="Approved Sick Leave",E53="Approved Vacation Leave",E53="Holiday"),8,E53="","",OR(E53="Absent",E53="Rest Day",E53="Sick Leave Without Pay",E53="Vacation Leave Without Pay"),0)</f>
        <v>8</v>
      </c>
      <c r="H53">
        <v>0</v>
      </c>
      <c r="I53">
        <v>0</v>
      </c>
      <c r="J53">
        <v>0</v>
      </c>
      <c r="K53" s="40" t="str">
        <f t="shared" si="3"/>
        <v>7</v>
      </c>
      <c r="M53" cm="1">
        <f t="array" ref="M53">_xlfn.IFS(
OR(E53="Absent",
   E53="Sick Leave Without Pay",
   E53="Vacation Leave Without Pay",
   E53="Rest Day"), 0,
OR(E53="Approved Sick Leave",
   E53="Approved Vacation Leave"), 1,
D53="Regular Non-Working Holiday",
    IF(E53="Worked",
        IF(F53="Yes",2.6,2),
        1),
D53="Regular Working Holiday",
    IF(E53="Worked",
        IF(F53="Yes",2.6,2),
        1),
D53="Special Non-Working Holiday",
    IF(E53="Worked",
        IF(F53="Yes",1.5,1.3),
        0),
D53="Special Working Holiday",
    1,
D53="Regular",
    IF(F53="Yes",
        IF(E53="Worked",1.3,0),
        IF(E53="Worked",1,0)
    )
)</f>
        <v>2</v>
      </c>
      <c r="N53" cm="1">
        <f t="array" ref="N53">_xlfn.IFS(
F53="No",
    _xlfn.IFS(
        D53="Regular", 1.25,
        OR(D53="Special Working Holiday", D53="Special Non-Working Holiday"), 1.3*1.3,
        OR(D53="Regular Working Holiday", D53="Regular Non-Working Holiday"), 2*1.3
    ),
F53="Yes",
    _xlfn.IFS(
        D53="Regular", 1.3*1.3,
        OR(D53="Special Working Holiday", D53="Special Non-Working Holiday"), 1.5*1.3,
        OR(D53="Regular Working Holiday", D53="Regular Non-Working Holiday"), 2.6*1.3
    )
)</f>
        <v>2.6</v>
      </c>
      <c r="O53" s="9">
        <f t="shared" si="4"/>
        <v>1535.6321839080458</v>
      </c>
      <c r="P53" t="str" cm="1">
        <f t="array" ref="P53">_xlfn.IFS(
  OR(DAY(B53)=5, DAY(B53)=20), "Cut-off", OR(DAY(B53)=6, DAY(B53)=21), "Start",
  OR(
     DAY(B53)=15,
     DAY(B53)=30, AND(MONTH(B53)=2,DAY(B53)=DAY(EOMONTH(B53,0)))
  ), "Payday",
  TRUE, ""
)</f>
        <v/>
      </c>
    </row>
    <row r="54" spans="1:17" x14ac:dyDescent="0.25">
      <c r="A54" s="49"/>
      <c r="B54" s="38">
        <v>46122</v>
      </c>
      <c r="C54" s="38" t="s">
        <v>10</v>
      </c>
      <c r="D54" t="str">
        <f>_xlfn.XLOOKUP(B54,'Holidays 2026'!$A$2:$A$27,'Holidays 2026'!$G$2:$G$27,"Regular",0,1)</f>
        <v>Regular</v>
      </c>
      <c r="E54" t="s">
        <v>71</v>
      </c>
      <c r="F54" t="str">
        <f t="shared" si="2"/>
        <v>No</v>
      </c>
      <c r="G54" cm="1">
        <f t="array" ref="G54">_xlfn.IFS(OR(E54="Worked",E54="Approved Sick Leave",E54="Approved Vacation Leave",E54="Holiday"),8,E54="","",OR(E54="Absent",E54="Rest Day",E54="Sick Leave Without Pay",E54="Vacation Leave Without Pay"),0)</f>
        <v>8</v>
      </c>
      <c r="H54">
        <v>0</v>
      </c>
      <c r="I54">
        <v>0</v>
      </c>
      <c r="J54">
        <v>0</v>
      </c>
      <c r="K54" s="40" t="str">
        <f t="shared" si="3"/>
        <v>7</v>
      </c>
      <c r="M54" cm="1">
        <f t="array" ref="M54">_xlfn.IFS(
OR(E54="Absent",
   E54="Sick Leave Without Pay",
   E54="Vacation Leave Without Pay",
   E54="Rest Day"), 0,
OR(E54="Approved Sick Leave",
   E54="Approved Vacation Leave"), 1,
D54="Regular Non-Working Holiday",
    IF(E54="Worked",
        IF(F54="Yes",2.6,2),
        1),
D54="Regular Working Holiday",
    IF(E54="Worked",
        IF(F54="Yes",2.6,2),
        1),
D54="Special Non-Working Holiday",
    IF(E54="Worked",
        IF(F54="Yes",1.5,1.3),
        0),
D54="Special Working Holiday",
    1,
D54="Regular",
    IF(F54="Yes",
        IF(E54="Worked",1.3,0),
        IF(E54="Worked",1,0)
    )
)</f>
        <v>1</v>
      </c>
      <c r="N54" cm="1">
        <f t="array" ref="N54">_xlfn.IFS(
F54="No",
    _xlfn.IFS(
        D54="Regular", 1.25,
        OR(D54="Special Working Holiday", D54="Special Non-Working Holiday"), 1.3*1.3,
        OR(D54="Regular Working Holiday", D54="Regular Non-Working Holiday"), 2*1.3
    ),
F54="Yes",
    _xlfn.IFS(
        D54="Regular", 1.3*1.3,
        OR(D54="Special Working Holiday", D54="Special Non-Working Holiday"), 1.5*1.3,
        OR(D54="Regular Working Holiday", D54="Regular Non-Working Holiday"), 2.6*1.3
    )
)</f>
        <v>1.25</v>
      </c>
      <c r="O54" s="9">
        <f t="shared" si="4"/>
        <v>800</v>
      </c>
      <c r="P54" t="str" cm="1">
        <f t="array" ref="P54">_xlfn.IFS(
  OR(DAY(B54)=5, DAY(B54)=20), "Cut-off", OR(DAY(B54)=6, DAY(B54)=21), "Start",
  OR(
     DAY(B54)=15,
     DAY(B54)=30, AND(MONTH(B54)=2,DAY(B54)=DAY(EOMONTH(B54,0)))
  ), "Payday",
  TRUE, ""
)</f>
        <v/>
      </c>
    </row>
    <row r="55" spans="1:17" x14ac:dyDescent="0.25">
      <c r="A55" s="49"/>
      <c r="B55" s="38">
        <v>46123</v>
      </c>
      <c r="C55" s="38" t="s">
        <v>10</v>
      </c>
      <c r="D55" t="str">
        <f>_xlfn.XLOOKUP(B55,'Holidays 2026'!$A$2:$A$27,'Holidays 2026'!$G$2:$G$27,"Regular",0,1)</f>
        <v>Regular</v>
      </c>
      <c r="E55" t="s">
        <v>82</v>
      </c>
      <c r="F55" t="str">
        <f t="shared" si="2"/>
        <v>Yes</v>
      </c>
      <c r="G55" cm="1">
        <f t="array" ref="G55">_xlfn.IFS(OR(E55="Worked",E55="Approved Sick Leave",E55="Approved Vacation Leave",E55="Holiday"),8,E55="","",OR(E55="Absent",E55="Rest Day",E55="Sick Leave Without Pay",E55="Vacation Leave Without Pay"),0)</f>
        <v>0</v>
      </c>
      <c r="H55">
        <v>0</v>
      </c>
      <c r="I55">
        <v>0</v>
      </c>
      <c r="J55">
        <v>0</v>
      </c>
      <c r="K55" s="40">
        <f t="shared" si="3"/>
        <v>0</v>
      </c>
      <c r="M55" cm="1">
        <f t="array" ref="M55">_xlfn.IFS(
OR(E55="Absent",
   E55="Sick Leave Without Pay",
   E55="Vacation Leave Without Pay",
   E55="Rest Day"), 0,
OR(E55="Approved Sick Leave",
   E55="Approved Vacation Leave"), 1,
D55="Regular Non-Working Holiday",
    IF(E55="Worked",
        IF(F55="Yes",2.6,2),
        1),
D55="Regular Working Holiday",
    IF(E55="Worked",
        IF(F55="Yes",2.6,2),
        1),
D55="Special Non-Working Holiday",
    IF(E55="Worked",
        IF(F55="Yes",1.5,1.3),
        0),
D55="Special Working Holiday",
    1,
D55="Regular",
    IF(F55="Yes",
        IF(E55="Worked",1.3,0),
        IF(E55="Worked",1,0)
    )
)</f>
        <v>0</v>
      </c>
      <c r="N55" cm="1">
        <f t="array" ref="N55">_xlfn.IFS(
F55="No",
    _xlfn.IFS(
        D55="Regular", 1.25,
        OR(D55="Special Working Holiday", D55="Special Non-Working Holiday"), 1.3*1.3,
        OR(D55="Regular Working Holiday", D55="Regular Non-Working Holiday"), 2*1.3
    ),
F55="Yes",
    _xlfn.IFS(
        D55="Regular", 1.3*1.3,
        OR(D55="Special Working Holiday", D55="Special Non-Working Holiday"), 1.5*1.3,
        OR(D55="Regular Working Holiday", D55="Regular Non-Working Holiday"), 2.6*1.3
    )
)</f>
        <v>1.6900000000000002</v>
      </c>
      <c r="O55" s="9">
        <f t="shared" si="4"/>
        <v>0</v>
      </c>
      <c r="P55" t="str" cm="1">
        <f t="array" ref="P55">_xlfn.IFS(
  OR(DAY(B55)=5, DAY(B55)=20), "Cut-off", OR(DAY(B55)=6, DAY(B55)=21), "Start",
  OR(
     DAY(B55)=15,
     DAY(B55)=30, AND(MONTH(B55)=2,DAY(B55)=DAY(EOMONTH(B55,0)))
  ), "Payday",
  TRUE, ""
)</f>
        <v/>
      </c>
    </row>
    <row r="56" spans="1:17" x14ac:dyDescent="0.25">
      <c r="A56" s="49"/>
      <c r="B56" s="38">
        <v>46124</v>
      </c>
      <c r="C56" s="38" t="s">
        <v>10</v>
      </c>
      <c r="D56" t="str">
        <f>_xlfn.XLOOKUP(B56,'Holidays 2026'!$A$2:$A$27,'Holidays 2026'!$G$2:$G$27,"Regular",0,1)</f>
        <v>Regular</v>
      </c>
      <c r="E56" t="s">
        <v>82</v>
      </c>
      <c r="F56" t="str">
        <f t="shared" si="2"/>
        <v>Yes</v>
      </c>
      <c r="G56" cm="1">
        <f t="array" ref="G56">_xlfn.IFS(OR(E56="Worked",E56="Approved Sick Leave",E56="Approved Vacation Leave",E56="Holiday"),8,E56="","",OR(E56="Absent",E56="Rest Day",E56="Sick Leave Without Pay",E56="Vacation Leave Without Pay"),0)</f>
        <v>0</v>
      </c>
      <c r="H56">
        <v>0</v>
      </c>
      <c r="I56">
        <v>0</v>
      </c>
      <c r="J56">
        <v>0</v>
      </c>
      <c r="K56" s="40">
        <f t="shared" si="3"/>
        <v>0</v>
      </c>
      <c r="M56" cm="1">
        <f t="array" ref="M56">_xlfn.IFS(
OR(E56="Absent",
   E56="Sick Leave Without Pay",
   E56="Vacation Leave Without Pay",
   E56="Rest Day"), 0,
OR(E56="Approved Sick Leave",
   E56="Approved Vacation Leave"), 1,
D56="Regular Non-Working Holiday",
    IF(E56="Worked",
        IF(F56="Yes",2.6,2),
        1),
D56="Regular Working Holiday",
    IF(E56="Worked",
        IF(F56="Yes",2.6,2),
        1),
D56="Special Non-Working Holiday",
    IF(E56="Worked",
        IF(F56="Yes",1.5,1.3),
        0),
D56="Special Working Holiday",
    1,
D56="Regular",
    IF(F56="Yes",
        IF(E56="Worked",1.3,0),
        IF(E56="Worked",1,0)
    )
)</f>
        <v>0</v>
      </c>
      <c r="N56" cm="1">
        <f t="array" ref="N56">_xlfn.IFS(
F56="No",
    _xlfn.IFS(
        D56="Regular", 1.25,
        OR(D56="Special Working Holiday", D56="Special Non-Working Holiday"), 1.3*1.3,
        OR(D56="Regular Working Holiday", D56="Regular Non-Working Holiday"), 2*1.3
    ),
F56="Yes",
    _xlfn.IFS(
        D56="Regular", 1.3*1.3,
        OR(D56="Special Working Holiday", D56="Special Non-Working Holiday"), 1.5*1.3,
        OR(D56="Regular Working Holiday", D56="Regular Non-Working Holiday"), 2.6*1.3
    )
)</f>
        <v>1.6900000000000002</v>
      </c>
      <c r="O56" s="9">
        <f t="shared" si="4"/>
        <v>0</v>
      </c>
      <c r="P56" t="str" cm="1">
        <f t="array" ref="P56">_xlfn.IFS(
  OR(DAY(B56)=5, DAY(B56)=20), "Cut-off", OR(DAY(B56)=6, DAY(B56)=21), "Start",
  OR(
     DAY(B56)=15,
     DAY(B56)=30, AND(MONTH(B56)=2,DAY(B56)=DAY(EOMONTH(B56,0)))
  ), "Payday",
  TRUE, ""
)</f>
        <v/>
      </c>
    </row>
    <row r="57" spans="1:17" x14ac:dyDescent="0.25">
      <c r="A57" s="49"/>
      <c r="B57" s="38">
        <v>46125</v>
      </c>
      <c r="C57" s="38" t="s">
        <v>10</v>
      </c>
      <c r="D57" t="str">
        <f>_xlfn.XLOOKUP(B57,'Holidays 2026'!$A$2:$A$27,'Holidays 2026'!$G$2:$G$27,"Regular",0,1)</f>
        <v>Regular</v>
      </c>
      <c r="E57" t="s">
        <v>71</v>
      </c>
      <c r="F57" t="str">
        <f t="shared" si="2"/>
        <v>No</v>
      </c>
      <c r="G57" cm="1">
        <f t="array" ref="G57">_xlfn.IFS(OR(E57="Worked",E57="Approved Sick Leave",E57="Approved Vacation Leave",E57="Holiday"),8,E57="","",OR(E57="Absent",E57="Rest Day",E57="Sick Leave Without Pay",E57="Vacation Leave Without Pay"),0)</f>
        <v>8</v>
      </c>
      <c r="H57">
        <v>0</v>
      </c>
      <c r="I57">
        <v>0</v>
      </c>
      <c r="J57">
        <v>0</v>
      </c>
      <c r="K57" s="40" t="str">
        <f t="shared" si="3"/>
        <v>7</v>
      </c>
      <c r="M57" cm="1">
        <f t="array" ref="M57">_xlfn.IFS(
OR(E57="Absent",
   E57="Sick Leave Without Pay",
   E57="Vacation Leave Without Pay",
   E57="Rest Day"), 0,
OR(E57="Approved Sick Leave",
   E57="Approved Vacation Leave"), 1,
D57="Regular Non-Working Holiday",
    IF(E57="Worked",
        IF(F57="Yes",2.6,2),
        1),
D57="Regular Working Holiday",
    IF(E57="Worked",
        IF(F57="Yes",2.6,2),
        1),
D57="Special Non-Working Holiday",
    IF(E57="Worked",
        IF(F57="Yes",1.5,1.3),
        0),
D57="Special Working Holiday",
    1,
D57="Regular",
    IF(F57="Yes",
        IF(E57="Worked",1.3,0),
        IF(E57="Worked",1,0)
    )
)</f>
        <v>1</v>
      </c>
      <c r="N57" cm="1">
        <f t="array" ref="N57">_xlfn.IFS(
F57="No",
    _xlfn.IFS(
        D57="Regular", 1.25,
        OR(D57="Special Working Holiday", D57="Special Non-Working Holiday"), 1.3*1.3,
        OR(D57="Regular Working Holiday", D57="Regular Non-Working Holiday"), 2*1.3
    ),
F57="Yes",
    _xlfn.IFS(
        D57="Regular", 1.3*1.3,
        OR(D57="Special Working Holiday", D57="Special Non-Working Holiday"), 1.5*1.3,
        OR(D57="Regular Working Holiday", D57="Regular Non-Working Holiday"), 2.6*1.3
    )
)</f>
        <v>1.25</v>
      </c>
      <c r="O57" s="9">
        <f t="shared" si="4"/>
        <v>800</v>
      </c>
      <c r="P57" t="str" cm="1">
        <f t="array" ref="P57">_xlfn.IFS(
  OR(DAY(B57)=5, DAY(B57)=20), "Cut-off", OR(DAY(B57)=6, DAY(B57)=21), "Start",
  OR(
     DAY(B57)=15,
     DAY(B57)=30, AND(MONTH(B57)=2,DAY(B57)=DAY(EOMONTH(B57,0)))
  ), "Payday",
  TRUE, ""
)</f>
        <v/>
      </c>
    </row>
    <row r="58" spans="1:17" x14ac:dyDescent="0.25">
      <c r="A58" s="49"/>
      <c r="B58" s="38">
        <v>46126</v>
      </c>
      <c r="C58" s="38" t="s">
        <v>10</v>
      </c>
      <c r="D58" t="str">
        <f>_xlfn.XLOOKUP(B58,'Holidays 2026'!$A$2:$A$27,'Holidays 2026'!$G$2:$G$27,"Regular",0,1)</f>
        <v>Regular</v>
      </c>
      <c r="E58" t="s">
        <v>71</v>
      </c>
      <c r="F58" t="str">
        <f t="shared" si="2"/>
        <v>No</v>
      </c>
      <c r="G58" cm="1">
        <f t="array" ref="G58">_xlfn.IFS(OR(E58="Worked",E58="Approved Sick Leave",E58="Approved Vacation Leave",E58="Holiday"),8,E58="","",OR(E58="Absent",E58="Rest Day",E58="Sick Leave Without Pay",E58="Vacation Leave Without Pay"),0)</f>
        <v>8</v>
      </c>
      <c r="H58">
        <v>0</v>
      </c>
      <c r="I58">
        <v>0</v>
      </c>
      <c r="J58">
        <v>0</v>
      </c>
      <c r="K58" s="40" t="str">
        <f t="shared" si="3"/>
        <v>7</v>
      </c>
      <c r="M58" cm="1">
        <f t="array" ref="M58">_xlfn.IFS(
OR(E58="Absent",
   E58="Sick Leave Without Pay",
   E58="Vacation Leave Without Pay",
   E58="Rest Day"), 0,
OR(E58="Approved Sick Leave",
   E58="Approved Vacation Leave"), 1,
D58="Regular Non-Working Holiday",
    IF(E58="Worked",
        IF(F58="Yes",2.6,2),
        1),
D58="Regular Working Holiday",
    IF(E58="Worked",
        IF(F58="Yes",2.6,2),
        1),
D58="Special Non-Working Holiday",
    IF(E58="Worked",
        IF(F58="Yes",1.5,1.3),
        0),
D58="Special Working Holiday",
    1,
D58="Regular",
    IF(F58="Yes",
        IF(E58="Worked",1.3,0),
        IF(E58="Worked",1,0)
    )
)</f>
        <v>1</v>
      </c>
      <c r="N58" cm="1">
        <f t="array" ref="N58">_xlfn.IFS(
F58="No",
    _xlfn.IFS(
        D58="Regular", 1.25,
        OR(D58="Special Working Holiday", D58="Special Non-Working Holiday"), 1.3*1.3,
        OR(D58="Regular Working Holiday", D58="Regular Non-Working Holiday"), 2*1.3
    ),
F58="Yes",
    _xlfn.IFS(
        D58="Regular", 1.3*1.3,
        OR(D58="Special Working Holiday", D58="Special Non-Working Holiday"), 1.5*1.3,
        OR(D58="Regular Working Holiday", D58="Regular Non-Working Holiday"), 2.6*1.3
    )
)</f>
        <v>1.25</v>
      </c>
      <c r="O58" s="9">
        <f t="shared" si="4"/>
        <v>800</v>
      </c>
      <c r="P58" t="str" cm="1">
        <f t="array" ref="P58">_xlfn.IFS(
  OR(DAY(B58)=5, DAY(B58)=20), "Cut-off", OR(DAY(B58)=6, DAY(B58)=21), "Start",
  OR(
     DAY(B58)=15,
     DAY(B58)=30, AND(MONTH(B58)=2,DAY(B58)=DAY(EOMONTH(B58,0)))
  ), "Payday",
  TRUE, ""
)</f>
        <v/>
      </c>
    </row>
    <row r="59" spans="1:17" x14ac:dyDescent="0.25">
      <c r="A59" s="49"/>
      <c r="B59" s="38">
        <v>46127</v>
      </c>
      <c r="C59" s="38" t="s">
        <v>10</v>
      </c>
      <c r="D59" t="str">
        <f>_xlfn.XLOOKUP(B59,'Holidays 2026'!$A$2:$A$27,'Holidays 2026'!$G$2:$G$27,"Regular",0,1)</f>
        <v>Regular</v>
      </c>
      <c r="E59" t="s">
        <v>71</v>
      </c>
      <c r="F59" t="str">
        <f t="shared" si="2"/>
        <v>No</v>
      </c>
      <c r="G59" cm="1">
        <f t="array" ref="G59">_xlfn.IFS(OR(E59="Worked",E59="Approved Sick Leave",E59="Approved Vacation Leave",E59="Holiday"),8,E59="","",OR(E59="Absent",E59="Rest Day",E59="Sick Leave Without Pay",E59="Vacation Leave Without Pay"),0)</f>
        <v>8</v>
      </c>
      <c r="H59">
        <v>0</v>
      </c>
      <c r="I59">
        <v>0</v>
      </c>
      <c r="J59">
        <v>0</v>
      </c>
      <c r="K59" s="40" t="str">
        <f t="shared" si="3"/>
        <v>7</v>
      </c>
      <c r="M59" cm="1">
        <f t="array" ref="M59">_xlfn.IFS(
OR(E59="Absent",
   E59="Sick Leave Without Pay",
   E59="Vacation Leave Without Pay",
   E59="Rest Day"), 0,
OR(E59="Approved Sick Leave",
   E59="Approved Vacation Leave"), 1,
D59="Regular Non-Working Holiday",
    IF(E59="Worked",
        IF(F59="Yes",2.6,2),
        1),
D59="Regular Working Holiday",
    IF(E59="Worked",
        IF(F59="Yes",2.6,2),
        1),
D59="Special Non-Working Holiday",
    IF(E59="Worked",
        IF(F59="Yes",1.5,1.3),
        0),
D59="Special Working Holiday",
    1,
D59="Regular",
    IF(F59="Yes",
        IF(E59="Worked",1.3,0),
        IF(E59="Worked",1,0)
    )
)</f>
        <v>1</v>
      </c>
      <c r="N59" cm="1">
        <f t="array" ref="N59">_xlfn.IFS(
F59="No",
    _xlfn.IFS(
        D59="Regular", 1.25,
        OR(D59="Special Working Holiday", D59="Special Non-Working Holiday"), 1.3*1.3,
        OR(D59="Regular Working Holiday", D59="Regular Non-Working Holiday"), 2*1.3
    ),
F59="Yes",
    _xlfn.IFS(
        D59="Regular", 1.3*1.3,
        OR(D59="Special Working Holiday", D59="Special Non-Working Holiday"), 1.5*1.3,
        OR(D59="Regular Working Holiday", D59="Regular Non-Working Holiday"), 2.6*1.3
    )
)</f>
        <v>1.25</v>
      </c>
      <c r="O59" s="9">
        <f t="shared" si="4"/>
        <v>800</v>
      </c>
      <c r="P59" t="str" cm="1">
        <f t="array" ref="P59">_xlfn.IFS(
  OR(DAY(B59)=5, DAY(B59)=20), "Cut-off", OR(DAY(B59)=6, DAY(B59)=21), "Start",
  OR(
     DAY(B59)=15,
     DAY(B59)=30, AND(MONTH(B59)=2,DAY(B59)=DAY(EOMONTH(B59,0)))
  ), "Payday",
  TRUE, ""
)</f>
        <v>Payday</v>
      </c>
      <c r="Q59" s="9">
        <f>SUM(O34:O49)</f>
        <v>9535.6321839080447</v>
      </c>
    </row>
    <row r="60" spans="1:17" x14ac:dyDescent="0.25">
      <c r="A60" s="49"/>
      <c r="B60" s="38">
        <v>46128</v>
      </c>
      <c r="C60" s="38" t="s">
        <v>10</v>
      </c>
      <c r="D60" t="str">
        <f>_xlfn.XLOOKUP(B60,'Holidays 2026'!$A$2:$A$27,'Holidays 2026'!$G$2:$G$27,"Regular",0,1)</f>
        <v>Regular</v>
      </c>
      <c r="E60" t="s">
        <v>71</v>
      </c>
      <c r="F60" t="str">
        <f t="shared" si="2"/>
        <v>No</v>
      </c>
      <c r="G60" cm="1">
        <f t="array" ref="G60">_xlfn.IFS(OR(E60="Worked",E60="Approved Sick Leave",E60="Approved Vacation Leave",E60="Holiday"),8,E60="","",OR(E60="Absent",E60="Rest Day",E60="Sick Leave Without Pay",E60="Vacation Leave Without Pay"),0)</f>
        <v>8</v>
      </c>
      <c r="H60">
        <v>0</v>
      </c>
      <c r="I60">
        <v>0</v>
      </c>
      <c r="J60">
        <v>0</v>
      </c>
      <c r="K60" s="40" t="str">
        <f t="shared" si="3"/>
        <v>7</v>
      </c>
      <c r="M60" cm="1">
        <f t="array" ref="M60">_xlfn.IFS(
OR(E60="Absent",
   E60="Sick Leave Without Pay",
   E60="Vacation Leave Without Pay",
   E60="Rest Day"), 0,
OR(E60="Approved Sick Leave",
   E60="Approved Vacation Leave"), 1,
D60="Regular Non-Working Holiday",
    IF(E60="Worked",
        IF(F60="Yes",2.6,2),
        1),
D60="Regular Working Holiday",
    IF(E60="Worked",
        IF(F60="Yes",2.6,2),
        1),
D60="Special Non-Working Holiday",
    IF(E60="Worked",
        IF(F60="Yes",1.5,1.3),
        0),
D60="Special Working Holiday",
    1,
D60="Regular",
    IF(F60="Yes",
        IF(E60="Worked",1.3,0),
        IF(E60="Worked",1,0)
    )
)</f>
        <v>1</v>
      </c>
      <c r="N60" cm="1">
        <f t="array" ref="N60">_xlfn.IFS(
F60="No",
    _xlfn.IFS(
        D60="Regular", 1.25,
        OR(D60="Special Working Holiday", D60="Special Non-Working Holiday"), 1.3*1.3,
        OR(D60="Regular Working Holiday", D60="Regular Non-Working Holiday"), 2*1.3
    ),
F60="Yes",
    _xlfn.IFS(
        D60="Regular", 1.3*1.3,
        OR(D60="Special Working Holiday", D60="Special Non-Working Holiday"), 1.5*1.3,
        OR(D60="Regular Working Holiday", D60="Regular Non-Working Holiday"), 2.6*1.3
    )
)</f>
        <v>1.25</v>
      </c>
      <c r="O60" s="9">
        <f t="shared" si="4"/>
        <v>800</v>
      </c>
      <c r="P60" t="str" cm="1">
        <f t="array" ref="P60">_xlfn.IFS(
  OR(DAY(B60)=5, DAY(B60)=20), "Cut-off", OR(DAY(B60)=6, DAY(B60)=21), "Start",
  OR(
     DAY(B60)=15,
     DAY(B60)=30, AND(MONTH(B60)=2,DAY(B60)=DAY(EOMONTH(B60,0)))
  ), "Payday",
  TRUE, ""
)</f>
        <v/>
      </c>
    </row>
    <row r="61" spans="1:17" x14ac:dyDescent="0.25">
      <c r="A61" s="49"/>
      <c r="B61" s="38">
        <v>46129</v>
      </c>
      <c r="C61" s="38" t="s">
        <v>10</v>
      </c>
      <c r="D61" t="str">
        <f>_xlfn.XLOOKUP(B61,'Holidays 2026'!$A$2:$A$27,'Holidays 2026'!$G$2:$G$27,"Regular",0,1)</f>
        <v>Regular</v>
      </c>
      <c r="E61" t="s">
        <v>71</v>
      </c>
      <c r="F61" t="str">
        <f t="shared" si="2"/>
        <v>No</v>
      </c>
      <c r="G61" cm="1">
        <f t="array" ref="G61">_xlfn.IFS(OR(E61="Worked",E61="Approved Sick Leave",E61="Approved Vacation Leave",E61="Holiday"),8,E61="","",OR(E61="Absent",E61="Rest Day",E61="Sick Leave Without Pay",E61="Vacation Leave Without Pay"),0)</f>
        <v>8</v>
      </c>
      <c r="H61">
        <v>0</v>
      </c>
      <c r="I61">
        <v>0</v>
      </c>
      <c r="J61">
        <v>0</v>
      </c>
      <c r="K61" s="40" t="str">
        <f t="shared" si="3"/>
        <v>7</v>
      </c>
      <c r="M61" cm="1">
        <f t="array" ref="M61">_xlfn.IFS(
OR(E61="Absent",
   E61="Sick Leave Without Pay",
   E61="Vacation Leave Without Pay",
   E61="Rest Day"), 0,
OR(E61="Approved Sick Leave",
   E61="Approved Vacation Leave"), 1,
D61="Regular Non-Working Holiday",
    IF(E61="Worked",
        IF(F61="Yes",2.6,2),
        1),
D61="Regular Working Holiday",
    IF(E61="Worked",
        IF(F61="Yes",2.6,2),
        1),
D61="Special Non-Working Holiday",
    IF(E61="Worked",
        IF(F61="Yes",1.5,1.3),
        0),
D61="Special Working Holiday",
    1,
D61="Regular",
    IF(F61="Yes",
        IF(E61="Worked",1.3,0),
        IF(E61="Worked",1,0)
    )
)</f>
        <v>1</v>
      </c>
      <c r="N61" cm="1">
        <f t="array" ref="N61">_xlfn.IFS(
F61="No",
    _xlfn.IFS(
        D61="Regular", 1.25,
        OR(D61="Special Working Holiday", D61="Special Non-Working Holiday"), 1.3*1.3,
        OR(D61="Regular Working Holiday", D61="Regular Non-Working Holiday"), 2*1.3
    ),
F61="Yes",
    _xlfn.IFS(
        D61="Regular", 1.3*1.3,
        OR(D61="Special Working Holiday", D61="Special Non-Working Holiday"), 1.5*1.3,
        OR(D61="Regular Working Holiday", D61="Regular Non-Working Holiday"), 2.6*1.3
    )
)</f>
        <v>1.25</v>
      </c>
      <c r="O61" s="9">
        <f t="shared" si="4"/>
        <v>800</v>
      </c>
      <c r="P61" t="str" cm="1">
        <f t="array" ref="P61">_xlfn.IFS(
  OR(DAY(B61)=5, DAY(B61)=20), "Cut-off", OR(DAY(B61)=6, DAY(B61)=21), "Start",
  OR(
     DAY(B61)=15,
     DAY(B61)=30, AND(MONTH(B61)=2,DAY(B61)=DAY(EOMONTH(B61,0)))
  ), "Payday",
  TRUE, ""
)</f>
        <v/>
      </c>
    </row>
    <row r="62" spans="1:17" x14ac:dyDescent="0.25">
      <c r="A62" s="49"/>
      <c r="B62" s="38">
        <v>46130</v>
      </c>
      <c r="C62" s="38" t="s">
        <v>10</v>
      </c>
      <c r="D62" t="str">
        <f>_xlfn.XLOOKUP(B62,'Holidays 2026'!$A$2:$A$27,'Holidays 2026'!$G$2:$G$27,"Regular",0,1)</f>
        <v>Regular</v>
      </c>
      <c r="E62" t="s">
        <v>82</v>
      </c>
      <c r="F62" t="str">
        <f t="shared" si="2"/>
        <v>Yes</v>
      </c>
      <c r="G62" cm="1">
        <f t="array" ref="G62">_xlfn.IFS(OR(E62="Worked",E62="Approved Sick Leave",E62="Approved Vacation Leave",E62="Holiday"),8,E62="","",OR(E62="Absent",E62="Rest Day",E62="Sick Leave Without Pay",E62="Vacation Leave Without Pay"),0)</f>
        <v>0</v>
      </c>
      <c r="H62">
        <v>0</v>
      </c>
      <c r="I62">
        <v>0</v>
      </c>
      <c r="J62">
        <v>0</v>
      </c>
      <c r="K62" s="40">
        <f t="shared" si="3"/>
        <v>0</v>
      </c>
      <c r="M62" cm="1">
        <f t="array" ref="M62">_xlfn.IFS(
OR(E62="Absent",
   E62="Sick Leave Without Pay",
   E62="Vacation Leave Without Pay",
   E62="Rest Day"), 0,
OR(E62="Approved Sick Leave",
   E62="Approved Vacation Leave"), 1,
D62="Regular Non-Working Holiday",
    IF(E62="Worked",
        IF(F62="Yes",2.6,2),
        1),
D62="Regular Working Holiday",
    IF(E62="Worked",
        IF(F62="Yes",2.6,2),
        1),
D62="Special Non-Working Holiday",
    IF(E62="Worked",
        IF(F62="Yes",1.5,1.3),
        0),
D62="Special Working Holiday",
    1,
D62="Regular",
    IF(F62="Yes",
        IF(E62="Worked",1.3,0),
        IF(E62="Worked",1,0)
    )
)</f>
        <v>0</v>
      </c>
      <c r="N62" cm="1">
        <f t="array" ref="N62">_xlfn.IFS(
F62="No",
    _xlfn.IFS(
        D62="Regular", 1.25,
        OR(D62="Special Working Holiday", D62="Special Non-Working Holiday"), 1.3*1.3,
        OR(D62="Regular Working Holiday", D62="Regular Non-Working Holiday"), 2*1.3
    ),
F62="Yes",
    _xlfn.IFS(
        D62="Regular", 1.3*1.3,
        OR(D62="Special Working Holiday", D62="Special Non-Working Holiday"), 1.5*1.3,
        OR(D62="Regular Working Holiday", D62="Regular Non-Working Holiday"), 2.6*1.3
    )
)</f>
        <v>1.6900000000000002</v>
      </c>
      <c r="O62" s="9">
        <f t="shared" si="4"/>
        <v>0</v>
      </c>
      <c r="P62" t="str" cm="1">
        <f t="array" ref="P62">_xlfn.IFS(
  OR(DAY(B62)=5, DAY(B62)=20), "Cut-off", OR(DAY(B62)=6, DAY(B62)=21), "Start",
  OR(
     DAY(B62)=15,
     DAY(B62)=30, AND(MONTH(B62)=2,DAY(B62)=DAY(EOMONTH(B62,0)))
  ), "Payday",
  TRUE, ""
)</f>
        <v/>
      </c>
    </row>
    <row r="63" spans="1:17" x14ac:dyDescent="0.25">
      <c r="A63" s="49"/>
      <c r="B63" s="38">
        <v>46131</v>
      </c>
      <c r="C63" s="38" t="s">
        <v>10</v>
      </c>
      <c r="D63" t="str">
        <f>_xlfn.XLOOKUP(B63,'Holidays 2026'!$A$2:$A$27,'Holidays 2026'!$G$2:$G$27,"Regular",0,1)</f>
        <v>Regular</v>
      </c>
      <c r="E63" t="s">
        <v>82</v>
      </c>
      <c r="F63" t="str">
        <f t="shared" si="2"/>
        <v>Yes</v>
      </c>
      <c r="G63" cm="1">
        <f t="array" ref="G63">_xlfn.IFS(OR(E63="Worked",E63="Approved Sick Leave",E63="Approved Vacation Leave",E63="Holiday"),8,E63="","",OR(E63="Absent",E63="Rest Day",E63="Sick Leave Without Pay",E63="Vacation Leave Without Pay"),0)</f>
        <v>0</v>
      </c>
      <c r="H63">
        <v>0</v>
      </c>
      <c r="I63">
        <v>0</v>
      </c>
      <c r="J63">
        <v>0</v>
      </c>
      <c r="K63" s="40">
        <f t="shared" si="3"/>
        <v>0</v>
      </c>
      <c r="M63" cm="1">
        <f t="array" ref="M63">_xlfn.IFS(
OR(E63="Absent",
   E63="Sick Leave Without Pay",
   E63="Vacation Leave Without Pay",
   E63="Rest Day"), 0,
OR(E63="Approved Sick Leave",
   E63="Approved Vacation Leave"), 1,
D63="Regular Non-Working Holiday",
    IF(E63="Worked",
        IF(F63="Yes",2.6,2),
        1),
D63="Regular Working Holiday",
    IF(E63="Worked",
        IF(F63="Yes",2.6,2),
        1),
D63="Special Non-Working Holiday",
    IF(E63="Worked",
        IF(F63="Yes",1.5,1.3),
        0),
D63="Special Working Holiday",
    1,
D63="Regular",
    IF(F63="Yes",
        IF(E63="Worked",1.3,0),
        IF(E63="Worked",1,0)
    )
)</f>
        <v>0</v>
      </c>
      <c r="N63" cm="1">
        <f t="array" ref="N63">_xlfn.IFS(
F63="No",
    _xlfn.IFS(
        D63="Regular", 1.25,
        OR(D63="Special Working Holiday", D63="Special Non-Working Holiday"), 1.3*1.3,
        OR(D63="Regular Working Holiday", D63="Regular Non-Working Holiday"), 2*1.3
    ),
F63="Yes",
    _xlfn.IFS(
        D63="Regular", 1.3*1.3,
        OR(D63="Special Working Holiday", D63="Special Non-Working Holiday"), 1.5*1.3,
        OR(D63="Regular Working Holiday", D63="Regular Non-Working Holiday"), 2.6*1.3
    )
)</f>
        <v>1.6900000000000002</v>
      </c>
      <c r="O63" s="9">
        <f t="shared" si="4"/>
        <v>0</v>
      </c>
      <c r="P63" t="str" cm="1">
        <f t="array" ref="P63">_xlfn.IFS(
  OR(DAY(B63)=5, DAY(B63)=20), "Cut-off", OR(DAY(B63)=6, DAY(B63)=21), "Start",
  OR(
     DAY(B63)=15,
     DAY(B63)=30, AND(MONTH(B63)=2,DAY(B63)=DAY(EOMONTH(B63,0)))
  ), "Payday",
  TRUE, ""
)</f>
        <v/>
      </c>
    </row>
    <row r="64" spans="1:17" x14ac:dyDescent="0.25">
      <c r="A64" s="49"/>
      <c r="B64" s="38">
        <v>46132</v>
      </c>
      <c r="C64" s="38" t="s">
        <v>10</v>
      </c>
      <c r="D64" t="str">
        <f>_xlfn.XLOOKUP(B64,'Holidays 2026'!$A$2:$A$27,'Holidays 2026'!$G$2:$G$27,"Regular",0,1)</f>
        <v>Regular</v>
      </c>
      <c r="E64" t="s">
        <v>71</v>
      </c>
      <c r="F64" t="str">
        <f t="shared" si="2"/>
        <v>No</v>
      </c>
      <c r="G64" cm="1">
        <f t="array" ref="G64">_xlfn.IFS(OR(E64="Worked",E64="Approved Sick Leave",E64="Approved Vacation Leave",E64="Holiday"),8,E64="","",OR(E64="Absent",E64="Rest Day",E64="Sick Leave Without Pay",E64="Vacation Leave Without Pay"),0)</f>
        <v>8</v>
      </c>
      <c r="H64">
        <v>0</v>
      </c>
      <c r="I64">
        <v>0</v>
      </c>
      <c r="J64">
        <v>0</v>
      </c>
      <c r="K64" s="40" t="str">
        <f t="shared" si="3"/>
        <v>7</v>
      </c>
      <c r="M64" cm="1">
        <f t="array" ref="M64">_xlfn.IFS(
OR(E64="Absent",
   E64="Sick Leave Without Pay",
   E64="Vacation Leave Without Pay",
   E64="Rest Day"), 0,
OR(E64="Approved Sick Leave",
   E64="Approved Vacation Leave"), 1,
D64="Regular Non-Working Holiday",
    IF(E64="Worked",
        IF(F64="Yes",2.6,2),
        1),
D64="Regular Working Holiday",
    IF(E64="Worked",
        IF(F64="Yes",2.6,2),
        1),
D64="Special Non-Working Holiday",
    IF(E64="Worked",
        IF(F64="Yes",1.5,1.3),
        0),
D64="Special Working Holiday",
    1,
D64="Regular",
    IF(F64="Yes",
        IF(E64="Worked",1.3,0),
        IF(E64="Worked",1,0)
    )
)</f>
        <v>1</v>
      </c>
      <c r="N64" cm="1">
        <f t="array" ref="N64">_xlfn.IFS(
F64="No",
    _xlfn.IFS(
        D64="Regular", 1.25,
        OR(D64="Special Working Holiday", D64="Special Non-Working Holiday"), 1.3*1.3,
        OR(D64="Regular Working Holiday", D64="Regular Non-Working Holiday"), 2*1.3
    ),
F64="Yes",
    _xlfn.IFS(
        D64="Regular", 1.3*1.3,
        OR(D64="Special Working Holiday", D64="Special Non-Working Holiday"), 1.5*1.3,
        OR(D64="Regular Working Holiday", D64="Regular Non-Working Holiday"), 2.6*1.3
    )
)</f>
        <v>1.25</v>
      </c>
      <c r="O64" s="9">
        <f t="shared" si="4"/>
        <v>800</v>
      </c>
      <c r="P64" t="str" cm="1">
        <f t="array" ref="P64">_xlfn.IFS(
  OR(DAY(B64)=5, DAY(B64)=20), "Cut-off", OR(DAY(B64)=6, DAY(B64)=21), "Start",
  OR(
     DAY(B64)=15,
     DAY(B64)=30, AND(MONTH(B64)=2,DAY(B64)=DAY(EOMONTH(B64,0)))
  ), "Payday",
  TRUE, ""
)</f>
        <v>Cut-off</v>
      </c>
    </row>
    <row r="65" spans="1:17" x14ac:dyDescent="0.25">
      <c r="A65" s="49"/>
      <c r="B65" s="38">
        <v>46133</v>
      </c>
      <c r="C65" s="38" t="s">
        <v>10</v>
      </c>
      <c r="D65" t="str">
        <f>_xlfn.XLOOKUP(B65,'Holidays 2026'!$A$2:$A$27,'Holidays 2026'!$G$2:$G$27,"Regular",0,1)</f>
        <v>Regular</v>
      </c>
      <c r="E65" t="s">
        <v>71</v>
      </c>
      <c r="F65" t="str">
        <f t="shared" si="2"/>
        <v>No</v>
      </c>
      <c r="G65" cm="1">
        <f t="array" ref="G65">_xlfn.IFS(OR(E65="Worked",E65="Approved Sick Leave",E65="Approved Vacation Leave",E65="Holiday"),8,E65="","",OR(E65="Absent",E65="Rest Day",E65="Sick Leave Without Pay",E65="Vacation Leave Without Pay"),0)</f>
        <v>8</v>
      </c>
      <c r="H65">
        <v>0</v>
      </c>
      <c r="I65">
        <v>0</v>
      </c>
      <c r="J65">
        <v>0</v>
      </c>
      <c r="K65" s="40" t="str">
        <f t="shared" si="3"/>
        <v>7</v>
      </c>
      <c r="M65" cm="1">
        <f t="array" ref="M65">_xlfn.IFS(
OR(E65="Absent",
   E65="Sick Leave Without Pay",
   E65="Vacation Leave Without Pay",
   E65="Rest Day"), 0,
OR(E65="Approved Sick Leave",
   E65="Approved Vacation Leave"), 1,
D65="Regular Non-Working Holiday",
    IF(E65="Worked",
        IF(F65="Yes",2.6,2),
        1),
D65="Regular Working Holiday",
    IF(E65="Worked",
        IF(F65="Yes",2.6,2),
        1),
D65="Special Non-Working Holiday",
    IF(E65="Worked",
        IF(F65="Yes",1.5,1.3),
        0),
D65="Special Working Holiday",
    1,
D65="Regular",
    IF(F65="Yes",
        IF(E65="Worked",1.3,0),
        IF(E65="Worked",1,0)
    )
)</f>
        <v>1</v>
      </c>
      <c r="N65" cm="1">
        <f t="array" ref="N65">_xlfn.IFS(
F65="No",
    _xlfn.IFS(
        D65="Regular", 1.25,
        OR(D65="Special Working Holiday", D65="Special Non-Working Holiday"), 1.3*1.3,
        OR(D65="Regular Working Holiday", D65="Regular Non-Working Holiday"), 2*1.3
    ),
F65="Yes",
    _xlfn.IFS(
        D65="Regular", 1.3*1.3,
        OR(D65="Special Working Holiday", D65="Special Non-Working Holiday"), 1.5*1.3,
        OR(D65="Regular Working Holiday", D65="Regular Non-Working Holiday"), 2.6*1.3
    )
)</f>
        <v>1.25</v>
      </c>
      <c r="O65" s="9">
        <f t="shared" si="4"/>
        <v>800</v>
      </c>
      <c r="P65" t="str" cm="1">
        <f t="array" ref="P65">_xlfn.IFS(
  OR(DAY(B65)=5, DAY(B65)=20), "Cut-off", OR(DAY(B65)=6, DAY(B65)=21), "Start",
  OR(
     DAY(B65)=15,
     DAY(B65)=30, AND(MONTH(B65)=2,DAY(B65)=DAY(EOMONTH(B65,0)))
  ), "Payday",
  TRUE, ""
)</f>
        <v>Start</v>
      </c>
    </row>
    <row r="66" spans="1:17" x14ac:dyDescent="0.25">
      <c r="A66" s="49"/>
      <c r="B66" s="38">
        <v>46134</v>
      </c>
      <c r="C66" s="38" t="s">
        <v>10</v>
      </c>
      <c r="D66" t="str">
        <f>_xlfn.XLOOKUP(B66,'Holidays 2026'!$A$2:$A$27,'Holidays 2026'!$G$2:$G$27,"Regular",0,1)</f>
        <v>Regular</v>
      </c>
      <c r="E66" t="s">
        <v>71</v>
      </c>
      <c r="F66" t="str">
        <f t="shared" si="2"/>
        <v>No</v>
      </c>
      <c r="G66" cm="1">
        <f t="array" ref="G66">_xlfn.IFS(OR(E66="Worked",E66="Approved Sick Leave",E66="Approved Vacation Leave",E66="Holiday"),8,E66="","",OR(E66="Absent",E66="Rest Day",E66="Sick Leave Without Pay",E66="Vacation Leave Without Pay"),0)</f>
        <v>8</v>
      </c>
      <c r="H66">
        <v>0</v>
      </c>
      <c r="I66">
        <v>0</v>
      </c>
      <c r="J66">
        <v>0</v>
      </c>
      <c r="K66" s="40" t="str">
        <f t="shared" si="3"/>
        <v>7</v>
      </c>
      <c r="M66" cm="1">
        <f t="array" ref="M66">_xlfn.IFS(
OR(E66="Absent",
   E66="Sick Leave Without Pay",
   E66="Vacation Leave Without Pay",
   E66="Rest Day"), 0,
OR(E66="Approved Sick Leave",
   E66="Approved Vacation Leave"), 1,
D66="Regular Non-Working Holiday",
    IF(E66="Worked",
        IF(F66="Yes",2.6,2),
        1),
D66="Regular Working Holiday",
    IF(E66="Worked",
        IF(F66="Yes",2.6,2),
        1),
D66="Special Non-Working Holiday",
    IF(E66="Worked",
        IF(F66="Yes",1.5,1.3),
        0),
D66="Special Working Holiday",
    1,
D66="Regular",
    IF(F66="Yes",
        IF(E66="Worked",1.3,0),
        IF(E66="Worked",1,0)
    )
)</f>
        <v>1</v>
      </c>
      <c r="N66" cm="1">
        <f t="array" ref="N66">_xlfn.IFS(
F66="No",
    _xlfn.IFS(
        D66="Regular", 1.25,
        OR(D66="Special Working Holiday", D66="Special Non-Working Holiday"), 1.3*1.3,
        OR(D66="Regular Working Holiday", D66="Regular Non-Working Holiday"), 2*1.3
    ),
F66="Yes",
    _xlfn.IFS(
        D66="Regular", 1.3*1.3,
        OR(D66="Special Working Holiday", D66="Special Non-Working Holiday"), 1.5*1.3,
        OR(D66="Regular Working Holiday", D66="Regular Non-Working Holiday"), 2.6*1.3
    )
)</f>
        <v>1.25</v>
      </c>
      <c r="O66" s="9">
        <f t="shared" ref="O66:O129" si="5">IF(E66&lt;&gt;"",(G66*HPE*M66)+(N66*HPE*J66)+(K66*ND),"")</f>
        <v>800</v>
      </c>
      <c r="P66" t="str" cm="1">
        <f t="array" ref="P66">_xlfn.IFS(
  OR(DAY(B66)=5, DAY(B66)=20), "Cut-off", OR(DAY(B66)=6, DAY(B66)=21), "Start",
  OR(
     DAY(B66)=15,
     DAY(B66)=30, AND(MONTH(B66)=2,DAY(B66)=DAY(EOMONTH(B66,0)))
  ), "Payday",
  TRUE, ""
)</f>
        <v/>
      </c>
    </row>
    <row r="67" spans="1:17" x14ac:dyDescent="0.25">
      <c r="A67" s="49"/>
      <c r="B67" s="38">
        <v>46135</v>
      </c>
      <c r="C67" s="38" t="s">
        <v>10</v>
      </c>
      <c r="D67" t="str">
        <f>_xlfn.XLOOKUP(B67,'Holidays 2026'!$A$2:$A$27,'Holidays 2026'!$G$2:$G$27,"Regular",0,1)</f>
        <v>Regular</v>
      </c>
      <c r="E67" t="s">
        <v>71</v>
      </c>
      <c r="F67" t="str">
        <f t="shared" ref="F67:F130" si="6">IF(OR(TEXT(B67,"dddd")="Saturday",TEXT(B67,"dddd")="Sunday"),"Yes","No")</f>
        <v>No</v>
      </c>
      <c r="G67" cm="1">
        <f t="array" ref="G67">_xlfn.IFS(OR(E67="Worked",E67="Approved Sick Leave",E67="Approved Vacation Leave",E67="Holiday"),8,E67="","",OR(E67="Absent",E67="Rest Day",E67="Sick Leave Without Pay",E67="Vacation Leave Without Pay"),0)</f>
        <v>8</v>
      </c>
      <c r="H67">
        <v>0</v>
      </c>
      <c r="I67">
        <v>0</v>
      </c>
      <c r="J67">
        <v>0</v>
      </c>
      <c r="K67" s="40" t="str">
        <f t="shared" ref="K67:K130" si="7">IF(E67="Rest Day",0,"7")</f>
        <v>7</v>
      </c>
      <c r="M67" cm="1">
        <f t="array" ref="M67">_xlfn.IFS(
OR(E67="Absent",
   E67="Sick Leave Without Pay",
   E67="Vacation Leave Without Pay",
   E67="Rest Day"), 0,
OR(E67="Approved Sick Leave",
   E67="Approved Vacation Leave"), 1,
D67="Regular Non-Working Holiday",
    IF(E67="Worked",
        IF(F67="Yes",2.6,2),
        1),
D67="Regular Working Holiday",
    IF(E67="Worked",
        IF(F67="Yes",2.6,2),
        1),
D67="Special Non-Working Holiday",
    IF(E67="Worked",
        IF(F67="Yes",1.5,1.3),
        0),
D67="Special Working Holiday",
    1,
D67="Regular",
    IF(F67="Yes",
        IF(E67="Worked",1.3,0),
        IF(E67="Worked",1,0)
    )
)</f>
        <v>1</v>
      </c>
      <c r="N67" cm="1">
        <f t="array" ref="N67">_xlfn.IFS(
F67="No",
    _xlfn.IFS(
        D67="Regular", 1.25,
        OR(D67="Special Working Holiday", D67="Special Non-Working Holiday"), 1.3*1.3,
        OR(D67="Regular Working Holiday", D67="Regular Non-Working Holiday"), 2*1.3
    ),
F67="Yes",
    _xlfn.IFS(
        D67="Regular", 1.3*1.3,
        OR(D67="Special Working Holiday", D67="Special Non-Working Holiday"), 1.5*1.3,
        OR(D67="Regular Working Holiday", D67="Regular Non-Working Holiday"), 2.6*1.3
    )
)</f>
        <v>1.25</v>
      </c>
      <c r="O67" s="9">
        <f t="shared" si="5"/>
        <v>800</v>
      </c>
      <c r="P67" t="str" cm="1">
        <f t="array" ref="P67">_xlfn.IFS(
  OR(DAY(B67)=5, DAY(B67)=20), "Cut-off", OR(DAY(B67)=6, DAY(B67)=21), "Start",
  OR(
     DAY(B67)=15,
     DAY(B67)=30, AND(MONTH(B67)=2,DAY(B67)=DAY(EOMONTH(B67,0)))
  ), "Payday",
  TRUE, ""
)</f>
        <v/>
      </c>
    </row>
    <row r="68" spans="1:17" x14ac:dyDescent="0.25">
      <c r="A68" s="49"/>
      <c r="B68" s="38">
        <v>46136</v>
      </c>
      <c r="C68" s="38" t="s">
        <v>10</v>
      </c>
      <c r="D68" t="str">
        <f>_xlfn.XLOOKUP(B68,'Holidays 2026'!$A$2:$A$27,'Holidays 2026'!$G$2:$G$27,"Regular",0,1)</f>
        <v>Regular</v>
      </c>
      <c r="E68" t="s">
        <v>71</v>
      </c>
      <c r="F68" t="str">
        <f t="shared" si="6"/>
        <v>No</v>
      </c>
      <c r="G68" cm="1">
        <f t="array" ref="G68">_xlfn.IFS(OR(E68="Worked",E68="Approved Sick Leave",E68="Approved Vacation Leave",E68="Holiday"),8,E68="","",OR(E68="Absent",E68="Rest Day",E68="Sick Leave Without Pay",E68="Vacation Leave Without Pay"),0)</f>
        <v>8</v>
      </c>
      <c r="H68">
        <v>0</v>
      </c>
      <c r="I68">
        <v>0</v>
      </c>
      <c r="J68">
        <v>0</v>
      </c>
      <c r="K68" s="40" t="str">
        <f t="shared" si="7"/>
        <v>7</v>
      </c>
      <c r="M68" cm="1">
        <f t="array" ref="M68">_xlfn.IFS(
OR(E68="Absent",
   E68="Sick Leave Without Pay",
   E68="Vacation Leave Without Pay",
   E68="Rest Day"), 0,
OR(E68="Approved Sick Leave",
   E68="Approved Vacation Leave"), 1,
D68="Regular Non-Working Holiday",
    IF(E68="Worked",
        IF(F68="Yes",2.6,2),
        1),
D68="Regular Working Holiday",
    IF(E68="Worked",
        IF(F68="Yes",2.6,2),
        1),
D68="Special Non-Working Holiday",
    IF(E68="Worked",
        IF(F68="Yes",1.5,1.3),
        0),
D68="Special Working Holiday",
    1,
D68="Regular",
    IF(F68="Yes",
        IF(E68="Worked",1.3,0),
        IF(E68="Worked",1,0)
    )
)</f>
        <v>1</v>
      </c>
      <c r="N68" cm="1">
        <f t="array" ref="N68">_xlfn.IFS(
F68="No",
    _xlfn.IFS(
        D68="Regular", 1.25,
        OR(D68="Special Working Holiday", D68="Special Non-Working Holiday"), 1.3*1.3,
        OR(D68="Regular Working Holiday", D68="Regular Non-Working Holiday"), 2*1.3
    ),
F68="Yes",
    _xlfn.IFS(
        D68="Regular", 1.3*1.3,
        OR(D68="Special Working Holiday", D68="Special Non-Working Holiday"), 1.5*1.3,
        OR(D68="Regular Working Holiday", D68="Regular Non-Working Holiday"), 2.6*1.3
    )
)</f>
        <v>1.25</v>
      </c>
      <c r="O68" s="9">
        <f t="shared" si="5"/>
        <v>800</v>
      </c>
      <c r="P68" t="str" cm="1">
        <f t="array" ref="P68">_xlfn.IFS(
  OR(DAY(B68)=5, DAY(B68)=20), "Cut-off", OR(DAY(B68)=6, DAY(B68)=21), "Start",
  OR(
     DAY(B68)=15,
     DAY(B68)=30, AND(MONTH(B68)=2,DAY(B68)=DAY(EOMONTH(B68,0)))
  ), "Payday",
  TRUE, ""
)</f>
        <v/>
      </c>
    </row>
    <row r="69" spans="1:17" x14ac:dyDescent="0.25">
      <c r="A69" s="49"/>
      <c r="B69" s="38">
        <v>46137</v>
      </c>
      <c r="C69" s="38" t="s">
        <v>10</v>
      </c>
      <c r="D69" t="str">
        <f>_xlfn.XLOOKUP(B69,'Holidays 2026'!$A$2:$A$27,'Holidays 2026'!$G$2:$G$27,"Regular",0,1)</f>
        <v>Regular</v>
      </c>
      <c r="E69" t="s">
        <v>82</v>
      </c>
      <c r="F69" t="str">
        <f t="shared" si="6"/>
        <v>Yes</v>
      </c>
      <c r="G69" cm="1">
        <f t="array" ref="G69">_xlfn.IFS(OR(E69="Worked",E69="Approved Sick Leave",E69="Approved Vacation Leave",E69="Holiday"),8,E69="","",OR(E69="Absent",E69="Rest Day",E69="Sick Leave Without Pay",E69="Vacation Leave Without Pay"),0)</f>
        <v>0</v>
      </c>
      <c r="H69">
        <v>0</v>
      </c>
      <c r="I69">
        <v>0</v>
      </c>
      <c r="J69">
        <v>0</v>
      </c>
      <c r="K69" s="40">
        <f t="shared" si="7"/>
        <v>0</v>
      </c>
      <c r="M69" cm="1">
        <f t="array" ref="M69">_xlfn.IFS(
OR(E69="Absent",
   E69="Sick Leave Without Pay",
   E69="Vacation Leave Without Pay",
   E69="Rest Day"), 0,
OR(E69="Approved Sick Leave",
   E69="Approved Vacation Leave"), 1,
D69="Regular Non-Working Holiday",
    IF(E69="Worked",
        IF(F69="Yes",2.6,2),
        1),
D69="Regular Working Holiday",
    IF(E69="Worked",
        IF(F69="Yes",2.6,2),
        1),
D69="Special Non-Working Holiday",
    IF(E69="Worked",
        IF(F69="Yes",1.5,1.3),
        0),
D69="Special Working Holiday",
    1,
D69="Regular",
    IF(F69="Yes",
        IF(E69="Worked",1.3,0),
        IF(E69="Worked",1,0)
    )
)</f>
        <v>0</v>
      </c>
      <c r="N69" cm="1">
        <f t="array" ref="N69">_xlfn.IFS(
F69="No",
    _xlfn.IFS(
        D69="Regular", 1.25,
        OR(D69="Special Working Holiday", D69="Special Non-Working Holiday"), 1.3*1.3,
        OR(D69="Regular Working Holiday", D69="Regular Non-Working Holiday"), 2*1.3
    ),
F69="Yes",
    _xlfn.IFS(
        D69="Regular", 1.3*1.3,
        OR(D69="Special Working Holiday", D69="Special Non-Working Holiday"), 1.5*1.3,
        OR(D69="Regular Working Holiday", D69="Regular Non-Working Holiday"), 2.6*1.3
    )
)</f>
        <v>1.6900000000000002</v>
      </c>
      <c r="O69" s="9">
        <f t="shared" si="5"/>
        <v>0</v>
      </c>
      <c r="P69" t="str" cm="1">
        <f t="array" ref="P69">_xlfn.IFS(
  OR(DAY(B69)=5, DAY(B69)=20), "Cut-off", OR(DAY(B69)=6, DAY(B69)=21), "Start",
  OR(
     DAY(B69)=15,
     DAY(B69)=30, AND(MONTH(B69)=2,DAY(B69)=DAY(EOMONTH(B69,0)))
  ), "Payday",
  TRUE, ""
)</f>
        <v/>
      </c>
    </row>
    <row r="70" spans="1:17" x14ac:dyDescent="0.25">
      <c r="A70" s="49"/>
      <c r="B70" s="38">
        <v>46138</v>
      </c>
      <c r="C70" s="38" t="s">
        <v>10</v>
      </c>
      <c r="D70" t="str">
        <f>_xlfn.XLOOKUP(B70,'Holidays 2026'!$A$2:$A$27,'Holidays 2026'!$G$2:$G$27,"Regular",0,1)</f>
        <v>Regular</v>
      </c>
      <c r="E70" t="s">
        <v>82</v>
      </c>
      <c r="F70" t="str">
        <f t="shared" si="6"/>
        <v>Yes</v>
      </c>
      <c r="G70" cm="1">
        <f t="array" ref="G70">_xlfn.IFS(OR(E70="Worked",E70="Approved Sick Leave",E70="Approved Vacation Leave",E70="Holiday"),8,E70="","",OR(E70="Absent",E70="Rest Day",E70="Sick Leave Without Pay",E70="Vacation Leave Without Pay"),0)</f>
        <v>0</v>
      </c>
      <c r="H70">
        <v>0</v>
      </c>
      <c r="I70">
        <v>0</v>
      </c>
      <c r="J70">
        <v>0</v>
      </c>
      <c r="K70" s="40">
        <f t="shared" si="7"/>
        <v>0</v>
      </c>
      <c r="M70" cm="1">
        <f t="array" ref="M70">_xlfn.IFS(
OR(E70="Absent",
   E70="Sick Leave Without Pay",
   E70="Vacation Leave Without Pay",
   E70="Rest Day"), 0,
OR(E70="Approved Sick Leave",
   E70="Approved Vacation Leave"), 1,
D70="Regular Non-Working Holiday",
    IF(E70="Worked",
        IF(F70="Yes",2.6,2),
        1),
D70="Regular Working Holiday",
    IF(E70="Worked",
        IF(F70="Yes",2.6,2),
        1),
D70="Special Non-Working Holiday",
    IF(E70="Worked",
        IF(F70="Yes",1.5,1.3),
        0),
D70="Special Working Holiday",
    1,
D70="Regular",
    IF(F70="Yes",
        IF(E70="Worked",1.3,0),
        IF(E70="Worked",1,0)
    )
)</f>
        <v>0</v>
      </c>
      <c r="N70" cm="1">
        <f t="array" ref="N70">_xlfn.IFS(
F70="No",
    _xlfn.IFS(
        D70="Regular", 1.25,
        OR(D70="Special Working Holiday", D70="Special Non-Working Holiday"), 1.3*1.3,
        OR(D70="Regular Working Holiday", D70="Regular Non-Working Holiday"), 2*1.3
    ),
F70="Yes",
    _xlfn.IFS(
        D70="Regular", 1.3*1.3,
        OR(D70="Special Working Holiday", D70="Special Non-Working Holiday"), 1.5*1.3,
        OR(D70="Regular Working Holiday", D70="Regular Non-Working Holiday"), 2.6*1.3
    )
)</f>
        <v>1.6900000000000002</v>
      </c>
      <c r="O70" s="9">
        <f t="shared" si="5"/>
        <v>0</v>
      </c>
      <c r="P70" t="str" cm="1">
        <f t="array" ref="P70">_xlfn.IFS(
  OR(DAY(B70)=5, DAY(B70)=20), "Cut-off", OR(DAY(B70)=6, DAY(B70)=21), "Start",
  OR(
     DAY(B70)=15,
     DAY(B70)=30, AND(MONTH(B70)=2,DAY(B70)=DAY(EOMONTH(B70,0)))
  ), "Payday",
  TRUE, ""
)</f>
        <v/>
      </c>
    </row>
    <row r="71" spans="1:17" x14ac:dyDescent="0.25">
      <c r="A71" s="49"/>
      <c r="B71" s="38">
        <v>46139</v>
      </c>
      <c r="C71" s="38" t="s">
        <v>10</v>
      </c>
      <c r="D71" t="str">
        <f>_xlfn.XLOOKUP(B71,'Holidays 2026'!$A$2:$A$27,'Holidays 2026'!$G$2:$G$27,"Regular",0,1)</f>
        <v>Regular</v>
      </c>
      <c r="E71" t="s">
        <v>71</v>
      </c>
      <c r="F71" t="str">
        <f t="shared" si="6"/>
        <v>No</v>
      </c>
      <c r="G71" cm="1">
        <f t="array" ref="G71">_xlfn.IFS(OR(E71="Worked",E71="Approved Sick Leave",E71="Approved Vacation Leave",E71="Holiday"),8,E71="","",OR(E71="Absent",E71="Rest Day",E71="Sick Leave Without Pay",E71="Vacation Leave Without Pay"),0)</f>
        <v>8</v>
      </c>
      <c r="H71">
        <v>0</v>
      </c>
      <c r="I71">
        <v>0</v>
      </c>
      <c r="J71">
        <v>0</v>
      </c>
      <c r="K71" s="40" t="str">
        <f t="shared" si="7"/>
        <v>7</v>
      </c>
      <c r="M71" cm="1">
        <f t="array" ref="M71">_xlfn.IFS(
OR(E71="Absent",
   E71="Sick Leave Without Pay",
   E71="Vacation Leave Without Pay",
   E71="Rest Day"), 0,
OR(E71="Approved Sick Leave",
   E71="Approved Vacation Leave"), 1,
D71="Regular Non-Working Holiday",
    IF(E71="Worked",
        IF(F71="Yes",2.6,2),
        1),
D71="Regular Working Holiday",
    IF(E71="Worked",
        IF(F71="Yes",2.6,2),
        1),
D71="Special Non-Working Holiday",
    IF(E71="Worked",
        IF(F71="Yes",1.5,1.3),
        0),
D71="Special Working Holiday",
    1,
D71="Regular",
    IF(F71="Yes",
        IF(E71="Worked",1.3,0),
        IF(E71="Worked",1,0)
    )
)</f>
        <v>1</v>
      </c>
      <c r="N71" cm="1">
        <f t="array" ref="N71">_xlfn.IFS(
F71="No",
    _xlfn.IFS(
        D71="Regular", 1.25,
        OR(D71="Special Working Holiday", D71="Special Non-Working Holiday"), 1.3*1.3,
        OR(D71="Regular Working Holiday", D71="Regular Non-Working Holiday"), 2*1.3
    ),
F71="Yes",
    _xlfn.IFS(
        D71="Regular", 1.3*1.3,
        OR(D71="Special Working Holiday", D71="Special Non-Working Holiday"), 1.5*1.3,
        OR(D71="Regular Working Holiday", D71="Regular Non-Working Holiday"), 2.6*1.3
    )
)</f>
        <v>1.25</v>
      </c>
      <c r="O71" s="9">
        <f t="shared" si="5"/>
        <v>800</v>
      </c>
      <c r="P71" t="str" cm="1">
        <f t="array" ref="P71">_xlfn.IFS(
  OR(DAY(B71)=5, DAY(B71)=20), "Cut-off", OR(DAY(B71)=6, DAY(B71)=21), "Start",
  OR(
     DAY(B71)=15,
     DAY(B71)=30, AND(MONTH(B71)=2,DAY(B71)=DAY(EOMONTH(B71,0)))
  ), "Payday",
  TRUE, ""
)</f>
        <v/>
      </c>
    </row>
    <row r="72" spans="1:17" x14ac:dyDescent="0.25">
      <c r="A72" s="49"/>
      <c r="B72" s="38">
        <v>46140</v>
      </c>
      <c r="C72" s="38" t="s">
        <v>10</v>
      </c>
      <c r="D72" t="str">
        <f>_xlfn.XLOOKUP(B72,'Holidays 2026'!$A$2:$A$27,'Holidays 2026'!$G$2:$G$27,"Regular",0,1)</f>
        <v>Regular</v>
      </c>
      <c r="E72" t="s">
        <v>71</v>
      </c>
      <c r="F72" t="str">
        <f t="shared" si="6"/>
        <v>No</v>
      </c>
      <c r="G72" cm="1">
        <f t="array" ref="G72">_xlfn.IFS(OR(E72="Worked",E72="Approved Sick Leave",E72="Approved Vacation Leave",E72="Holiday"),8,E72="","",OR(E72="Absent",E72="Rest Day",E72="Sick Leave Without Pay",E72="Vacation Leave Without Pay"),0)</f>
        <v>8</v>
      </c>
      <c r="H72">
        <v>0</v>
      </c>
      <c r="I72">
        <v>0</v>
      </c>
      <c r="J72">
        <v>0</v>
      </c>
      <c r="K72" s="40" t="str">
        <f t="shared" si="7"/>
        <v>7</v>
      </c>
      <c r="M72" cm="1">
        <f t="array" ref="M72">_xlfn.IFS(
OR(E72="Absent",
   E72="Sick Leave Without Pay",
   E72="Vacation Leave Without Pay",
   E72="Rest Day"), 0,
OR(E72="Approved Sick Leave",
   E72="Approved Vacation Leave"), 1,
D72="Regular Non-Working Holiday",
    IF(E72="Worked",
        IF(F72="Yes",2.6,2),
        1),
D72="Regular Working Holiday",
    IF(E72="Worked",
        IF(F72="Yes",2.6,2),
        1),
D72="Special Non-Working Holiday",
    IF(E72="Worked",
        IF(F72="Yes",1.5,1.3),
        0),
D72="Special Working Holiday",
    1,
D72="Regular",
    IF(F72="Yes",
        IF(E72="Worked",1.3,0),
        IF(E72="Worked",1,0)
    )
)</f>
        <v>1</v>
      </c>
      <c r="N72" cm="1">
        <f t="array" ref="N72">_xlfn.IFS(
F72="No",
    _xlfn.IFS(
        D72="Regular", 1.25,
        OR(D72="Special Working Holiday", D72="Special Non-Working Holiday"), 1.3*1.3,
        OR(D72="Regular Working Holiday", D72="Regular Non-Working Holiday"), 2*1.3
    ),
F72="Yes",
    _xlfn.IFS(
        D72="Regular", 1.3*1.3,
        OR(D72="Special Working Holiday", D72="Special Non-Working Holiday"), 1.5*1.3,
        OR(D72="Regular Working Holiday", D72="Regular Non-Working Holiday"), 2.6*1.3
    )
)</f>
        <v>1.25</v>
      </c>
      <c r="O72" s="9">
        <f t="shared" si="5"/>
        <v>800</v>
      </c>
      <c r="P72" t="str" cm="1">
        <f t="array" ref="P72">_xlfn.IFS(
  OR(DAY(B72)=5, DAY(B72)=20), "Cut-off", OR(DAY(B72)=6, DAY(B72)=21), "Start",
  OR(
     DAY(B72)=15,
     DAY(B72)=30, AND(MONTH(B72)=2,DAY(B72)=DAY(EOMONTH(B72,0)))
  ), "Payday",
  TRUE, ""
)</f>
        <v/>
      </c>
    </row>
    <row r="73" spans="1:17" x14ac:dyDescent="0.25">
      <c r="A73" s="49"/>
      <c r="B73" s="38">
        <v>46141</v>
      </c>
      <c r="C73" s="38" t="s">
        <v>10</v>
      </c>
      <c r="D73" t="str">
        <f>_xlfn.XLOOKUP(B73,'Holidays 2026'!$A$2:$A$27,'Holidays 2026'!$G$2:$G$27,"Regular",0,1)</f>
        <v>Regular</v>
      </c>
      <c r="E73" t="s">
        <v>71</v>
      </c>
      <c r="F73" t="str">
        <f t="shared" si="6"/>
        <v>No</v>
      </c>
      <c r="G73" cm="1">
        <f t="array" ref="G73">_xlfn.IFS(OR(E73="Worked",E73="Approved Sick Leave",E73="Approved Vacation Leave",E73="Holiday"),8,E73="","",OR(E73="Absent",E73="Rest Day",E73="Sick Leave Without Pay",E73="Vacation Leave Without Pay"),0)</f>
        <v>8</v>
      </c>
      <c r="H73">
        <v>0</v>
      </c>
      <c r="I73">
        <v>0</v>
      </c>
      <c r="J73">
        <v>0</v>
      </c>
      <c r="K73" s="40" t="str">
        <f t="shared" si="7"/>
        <v>7</v>
      </c>
      <c r="M73" cm="1">
        <f t="array" ref="M73">_xlfn.IFS(
OR(E73="Absent",
   E73="Sick Leave Without Pay",
   E73="Vacation Leave Without Pay",
   E73="Rest Day"), 0,
OR(E73="Approved Sick Leave",
   E73="Approved Vacation Leave"), 1,
D73="Regular Non-Working Holiday",
    IF(E73="Worked",
        IF(F73="Yes",2.6,2),
        1),
D73="Regular Working Holiday",
    IF(E73="Worked",
        IF(F73="Yes",2.6,2),
        1),
D73="Special Non-Working Holiday",
    IF(E73="Worked",
        IF(F73="Yes",1.5,1.3),
        0),
D73="Special Working Holiday",
    1,
D73="Regular",
    IF(F73="Yes",
        IF(E73="Worked",1.3,0),
        IF(E73="Worked",1,0)
    )
)</f>
        <v>1</v>
      </c>
      <c r="N73" cm="1">
        <f t="array" ref="N73">_xlfn.IFS(
F73="No",
    _xlfn.IFS(
        D73="Regular", 1.25,
        OR(D73="Special Working Holiday", D73="Special Non-Working Holiday"), 1.3*1.3,
        OR(D73="Regular Working Holiday", D73="Regular Non-Working Holiday"), 2*1.3
    ),
F73="Yes",
    _xlfn.IFS(
        D73="Regular", 1.3*1.3,
        OR(D73="Special Working Holiday", D73="Special Non-Working Holiday"), 1.5*1.3,
        OR(D73="Regular Working Holiday", D73="Regular Non-Working Holiday"), 2.6*1.3
    )
)</f>
        <v>1.25</v>
      </c>
      <c r="O73" s="9">
        <f t="shared" si="5"/>
        <v>800</v>
      </c>
      <c r="P73" t="str" cm="1">
        <f t="array" ref="P73">_xlfn.IFS(
  OR(DAY(B73)=5, DAY(B73)=20), "Cut-off", OR(DAY(B73)=6, DAY(B73)=21), "Start",
  OR(
     DAY(B73)=15,
     DAY(B73)=30, AND(MONTH(B73)=2,DAY(B73)=DAY(EOMONTH(B73,0)))
  ), "Payday",
  TRUE, ""
)</f>
        <v/>
      </c>
    </row>
    <row r="74" spans="1:17" x14ac:dyDescent="0.25">
      <c r="A74" s="49"/>
      <c r="B74" s="38">
        <v>46142</v>
      </c>
      <c r="C74" s="38" t="s">
        <v>10</v>
      </c>
      <c r="D74" t="str">
        <f>_xlfn.XLOOKUP(B74,'Holidays 2026'!$A$2:$A$27,'Holidays 2026'!$G$2:$G$27,"Regular",0,1)</f>
        <v>Regular</v>
      </c>
      <c r="E74" t="s">
        <v>71</v>
      </c>
      <c r="F74" t="str">
        <f t="shared" si="6"/>
        <v>No</v>
      </c>
      <c r="G74" cm="1">
        <f t="array" ref="G74">_xlfn.IFS(OR(E74="Worked",E74="Approved Sick Leave",E74="Approved Vacation Leave",E74="Holiday"),8,E74="","",OR(E74="Absent",E74="Rest Day",E74="Sick Leave Without Pay",E74="Vacation Leave Without Pay"),0)</f>
        <v>8</v>
      </c>
      <c r="H74">
        <v>0</v>
      </c>
      <c r="I74">
        <v>0</v>
      </c>
      <c r="J74">
        <v>0</v>
      </c>
      <c r="K74" s="40" t="str">
        <f t="shared" si="7"/>
        <v>7</v>
      </c>
      <c r="M74" cm="1">
        <f t="array" ref="M74">_xlfn.IFS(
OR(E74="Absent",
   E74="Sick Leave Without Pay",
   E74="Vacation Leave Without Pay",
   E74="Rest Day"), 0,
OR(E74="Approved Sick Leave",
   E74="Approved Vacation Leave"), 1,
D74="Regular Non-Working Holiday",
    IF(E74="Worked",
        IF(F74="Yes",2.6,2),
        1),
D74="Regular Working Holiday",
    IF(E74="Worked",
        IF(F74="Yes",2.6,2),
        1),
D74="Special Non-Working Holiday",
    IF(E74="Worked",
        IF(F74="Yes",1.5,1.3),
        0),
D74="Special Working Holiday",
    1,
D74="Regular",
    IF(F74="Yes",
        IF(E74="Worked",1.3,0),
        IF(E74="Worked",1,0)
    )
)</f>
        <v>1</v>
      </c>
      <c r="N74" cm="1">
        <f t="array" ref="N74">_xlfn.IFS(
F74="No",
    _xlfn.IFS(
        D74="Regular", 1.25,
        OR(D74="Special Working Holiday", D74="Special Non-Working Holiday"), 1.3*1.3,
        OR(D74="Regular Working Holiday", D74="Regular Non-Working Holiday"), 2*1.3
    ),
F74="Yes",
    _xlfn.IFS(
        D74="Regular", 1.3*1.3,
        OR(D74="Special Working Holiday", D74="Special Non-Working Holiday"), 1.5*1.3,
        OR(D74="Regular Working Holiday", D74="Regular Non-Working Holiday"), 2.6*1.3
    )
)</f>
        <v>1.25</v>
      </c>
      <c r="O74" s="9">
        <f t="shared" si="5"/>
        <v>800</v>
      </c>
      <c r="P74" t="str" cm="1">
        <f t="array" ref="P74">_xlfn.IFS(
  OR(DAY(B74)=5, DAY(B74)=20), "Cut-off", OR(DAY(B74)=6, DAY(B74)=21), "Start",
  OR(
     DAY(B74)=15,
     DAY(B74)=30, AND(MONTH(B74)=2,DAY(B74)=DAY(EOMONTH(B74,0)))
  ), "Payday",
  TRUE, ""
)</f>
        <v>Payday</v>
      </c>
      <c r="Q74" s="9">
        <f>SUM(O50:O64)</f>
        <v>9535.6321839080447</v>
      </c>
    </row>
    <row r="75" spans="1:17" x14ac:dyDescent="0.25">
      <c r="A75" s="49" t="s">
        <v>97</v>
      </c>
      <c r="B75" s="38">
        <v>46143</v>
      </c>
      <c r="C75" s="38" t="s">
        <v>11</v>
      </c>
      <c r="D75" t="str">
        <f>_xlfn.XLOOKUP(B75,'Holidays 2026'!$A$2:$A$27,'Holidays 2026'!$G$2:$G$27,"Regular",0,1)</f>
        <v>Regular Working Holiday</v>
      </c>
      <c r="E75" t="s">
        <v>71</v>
      </c>
      <c r="F75" t="str">
        <f t="shared" si="6"/>
        <v>No</v>
      </c>
      <c r="G75" cm="1">
        <f t="array" ref="G75">_xlfn.IFS(OR(E75="Worked",E75="Approved Sick Leave",E75="Approved Vacation Leave",E75="Holiday"),8,E75="","",OR(E75="Absent",E75="Rest Day",E75="Sick Leave Without Pay",E75="Vacation Leave Without Pay"),0)</f>
        <v>8</v>
      </c>
      <c r="H75">
        <v>0</v>
      </c>
      <c r="I75">
        <v>0</v>
      </c>
      <c r="J75">
        <v>0</v>
      </c>
      <c r="K75" s="40" t="str">
        <f t="shared" si="7"/>
        <v>7</v>
      </c>
      <c r="M75" cm="1">
        <f t="array" ref="M75">_xlfn.IFS(
OR(E75="Absent",
   E75="Sick Leave Without Pay",
   E75="Vacation Leave Without Pay",
   E75="Rest Day"), 0,
OR(E75="Approved Sick Leave",
   E75="Approved Vacation Leave"), 1,
D75="Regular Non-Working Holiday",
    IF(E75="Worked",
        IF(F75="Yes",2.6,2),
        1),
D75="Regular Working Holiday",
    IF(E75="Worked",
        IF(F75="Yes",2.6,2),
        1),
D75="Special Non-Working Holiday",
    IF(E75="Worked",
        IF(F75="Yes",1.5,1.3),
        0),
D75="Special Working Holiday",
    1,
D75="Regular",
    IF(F75="Yes",
        IF(E75="Worked",1.3,0),
        IF(E75="Worked",1,0)
    )
)</f>
        <v>2</v>
      </c>
      <c r="N75" cm="1">
        <f t="array" ref="N75">_xlfn.IFS(
F75="No",
    _xlfn.IFS(
        D75="Regular", 1.25,
        OR(D75="Special Working Holiday", D75="Special Non-Working Holiday"), 1.3*1.3,
        OR(D75="Regular Working Holiday", D75="Regular Non-Working Holiday"), 2*1.3
    ),
F75="Yes",
    _xlfn.IFS(
        D75="Regular", 1.3*1.3,
        OR(D75="Special Working Holiday", D75="Special Non-Working Holiday"), 1.5*1.3,
        OR(D75="Regular Working Holiday", D75="Regular Non-Working Holiday"), 2.6*1.3
    )
)</f>
        <v>2.6</v>
      </c>
      <c r="O75" s="9">
        <f t="shared" si="5"/>
        <v>1535.6321839080458</v>
      </c>
      <c r="P75" t="str" cm="1">
        <f t="array" ref="P75">_xlfn.IFS(
  OR(DAY(B75)=5, DAY(B75)=20), "Cut-off", OR(DAY(B75)=6, DAY(B75)=21), "Start",
  OR(
     DAY(B75)=15,
     DAY(B75)=30, AND(MONTH(B75)=2,DAY(B75)=DAY(EOMONTH(B75,0)))
  ), "Payday",
  TRUE, ""
)</f>
        <v/>
      </c>
    </row>
    <row r="76" spans="1:17" x14ac:dyDescent="0.25">
      <c r="A76" s="49"/>
      <c r="B76" s="38">
        <v>46144</v>
      </c>
      <c r="C76" s="38" t="s">
        <v>11</v>
      </c>
      <c r="D76" t="str">
        <f>_xlfn.XLOOKUP(B76,'Holidays 2026'!$A$2:$A$27,'Holidays 2026'!$G$2:$G$27,"Regular",0,1)</f>
        <v>Regular</v>
      </c>
      <c r="E76" t="s">
        <v>82</v>
      </c>
      <c r="F76" t="str">
        <f t="shared" si="6"/>
        <v>Yes</v>
      </c>
      <c r="G76" cm="1">
        <f t="array" ref="G76">_xlfn.IFS(OR(E76="Worked",E76="Approved Sick Leave",E76="Approved Vacation Leave",E76="Holiday"),8,E76="","",OR(E76="Absent",E76="Rest Day",E76="Sick Leave Without Pay",E76="Vacation Leave Without Pay"),0)</f>
        <v>0</v>
      </c>
      <c r="H76">
        <v>0</v>
      </c>
      <c r="I76">
        <v>0</v>
      </c>
      <c r="J76">
        <v>0</v>
      </c>
      <c r="K76" s="40">
        <f t="shared" si="7"/>
        <v>0</v>
      </c>
      <c r="M76" cm="1">
        <f t="array" ref="M76">_xlfn.IFS(
OR(E76="Absent",
   E76="Sick Leave Without Pay",
   E76="Vacation Leave Without Pay",
   E76="Rest Day"), 0,
OR(E76="Approved Sick Leave",
   E76="Approved Vacation Leave"), 1,
D76="Regular Non-Working Holiday",
    IF(E76="Worked",
        IF(F76="Yes",2.6,2),
        1),
D76="Regular Working Holiday",
    IF(E76="Worked",
        IF(F76="Yes",2.6,2),
        1),
D76="Special Non-Working Holiday",
    IF(E76="Worked",
        IF(F76="Yes",1.5,1.3),
        0),
D76="Special Working Holiday",
    1,
D76="Regular",
    IF(F76="Yes",
        IF(E76="Worked",1.3,0),
        IF(E76="Worked",1,0)
    )
)</f>
        <v>0</v>
      </c>
      <c r="N76" cm="1">
        <f t="array" ref="N76">_xlfn.IFS(
F76="No",
    _xlfn.IFS(
        D76="Regular", 1.25,
        OR(D76="Special Working Holiday", D76="Special Non-Working Holiday"), 1.3*1.3,
        OR(D76="Regular Working Holiday", D76="Regular Non-Working Holiday"), 2*1.3
    ),
F76="Yes",
    _xlfn.IFS(
        D76="Regular", 1.3*1.3,
        OR(D76="Special Working Holiday", D76="Special Non-Working Holiday"), 1.5*1.3,
        OR(D76="Regular Working Holiday", D76="Regular Non-Working Holiday"), 2.6*1.3
    )
)</f>
        <v>1.6900000000000002</v>
      </c>
      <c r="O76" s="9">
        <f t="shared" si="5"/>
        <v>0</v>
      </c>
      <c r="P76" t="str" cm="1">
        <f t="array" ref="P76">_xlfn.IFS(
  OR(DAY(B76)=5, DAY(B76)=20), "Cut-off", OR(DAY(B76)=6, DAY(B76)=21), "Start",
  OR(
     DAY(B76)=15,
     DAY(B76)=30, AND(MONTH(B76)=2,DAY(B76)=DAY(EOMONTH(B76,0)))
  ), "Payday",
  TRUE, ""
)</f>
        <v/>
      </c>
    </row>
    <row r="77" spans="1:17" x14ac:dyDescent="0.25">
      <c r="A77" s="49"/>
      <c r="B77" s="38">
        <v>46145</v>
      </c>
      <c r="C77" s="38" t="s">
        <v>11</v>
      </c>
      <c r="D77" t="str">
        <f>_xlfn.XLOOKUP(B77,'Holidays 2026'!$A$2:$A$27,'Holidays 2026'!$G$2:$G$27,"Regular",0,1)</f>
        <v>Regular</v>
      </c>
      <c r="E77" t="s">
        <v>82</v>
      </c>
      <c r="F77" t="str">
        <f t="shared" si="6"/>
        <v>Yes</v>
      </c>
      <c r="G77" cm="1">
        <f t="array" ref="G77">_xlfn.IFS(OR(E77="Worked",E77="Approved Sick Leave",E77="Approved Vacation Leave",E77="Holiday"),8,E77="","",OR(E77="Absent",E77="Rest Day",E77="Sick Leave Without Pay",E77="Vacation Leave Without Pay"),0)</f>
        <v>0</v>
      </c>
      <c r="H77">
        <v>0</v>
      </c>
      <c r="I77">
        <v>0</v>
      </c>
      <c r="J77">
        <v>0</v>
      </c>
      <c r="K77" s="40">
        <f t="shared" si="7"/>
        <v>0</v>
      </c>
      <c r="M77" cm="1">
        <f t="array" ref="M77">_xlfn.IFS(
OR(E77="Absent",
   E77="Sick Leave Without Pay",
   E77="Vacation Leave Without Pay",
   E77="Rest Day"), 0,
OR(E77="Approved Sick Leave",
   E77="Approved Vacation Leave"), 1,
D77="Regular Non-Working Holiday",
    IF(E77="Worked",
        IF(F77="Yes",2.6,2),
        1),
D77="Regular Working Holiday",
    IF(E77="Worked",
        IF(F77="Yes",2.6,2),
        1),
D77="Special Non-Working Holiday",
    IF(E77="Worked",
        IF(F77="Yes",1.5,1.3),
        0),
D77="Special Working Holiday",
    1,
D77="Regular",
    IF(F77="Yes",
        IF(E77="Worked",1.3,0),
        IF(E77="Worked",1,0)
    )
)</f>
        <v>0</v>
      </c>
      <c r="N77" cm="1">
        <f t="array" ref="N77">_xlfn.IFS(
F77="No",
    _xlfn.IFS(
        D77="Regular", 1.25,
        OR(D77="Special Working Holiday", D77="Special Non-Working Holiday"), 1.3*1.3,
        OR(D77="Regular Working Holiday", D77="Regular Non-Working Holiday"), 2*1.3
    ),
F77="Yes",
    _xlfn.IFS(
        D77="Regular", 1.3*1.3,
        OR(D77="Special Working Holiday", D77="Special Non-Working Holiday"), 1.5*1.3,
        OR(D77="Regular Working Holiday", D77="Regular Non-Working Holiday"), 2.6*1.3
    )
)</f>
        <v>1.6900000000000002</v>
      </c>
      <c r="O77" s="9">
        <f t="shared" si="5"/>
        <v>0</v>
      </c>
      <c r="P77" t="str" cm="1">
        <f t="array" ref="P77">_xlfn.IFS(
  OR(DAY(B77)=5, DAY(B77)=20), "Cut-off", OR(DAY(B77)=6, DAY(B77)=21), "Start",
  OR(
     DAY(B77)=15,
     DAY(B77)=30, AND(MONTH(B77)=2,DAY(B77)=DAY(EOMONTH(B77,0)))
  ), "Payday",
  TRUE, ""
)</f>
        <v/>
      </c>
    </row>
    <row r="78" spans="1:17" x14ac:dyDescent="0.25">
      <c r="A78" s="49"/>
      <c r="B78" s="38">
        <v>46146</v>
      </c>
      <c r="C78" s="38" t="s">
        <v>11</v>
      </c>
      <c r="D78" t="str">
        <f>_xlfn.XLOOKUP(B78,'Holidays 2026'!$A$2:$A$27,'Holidays 2026'!$G$2:$G$27,"Regular",0,1)</f>
        <v>Regular</v>
      </c>
      <c r="E78" t="s">
        <v>73</v>
      </c>
      <c r="F78" t="str">
        <f t="shared" si="6"/>
        <v>No</v>
      </c>
      <c r="G78" cm="1">
        <f t="array" ref="G78">_xlfn.IFS(OR(E78="Worked",E78="Approved Sick Leave",E78="Approved Vacation Leave",E78="Holiday"),8,E78="","",OR(E78="Absent",E78="Rest Day",E78="Sick Leave Without Pay",E78="Vacation Leave Without Pay"),0)</f>
        <v>8</v>
      </c>
      <c r="H78">
        <v>0</v>
      </c>
      <c r="I78">
        <v>0</v>
      </c>
      <c r="J78">
        <v>0</v>
      </c>
      <c r="K78" s="40" t="str">
        <f t="shared" si="7"/>
        <v>7</v>
      </c>
      <c r="M78" cm="1">
        <f t="array" ref="M78">_xlfn.IFS(
OR(E78="Absent",
   E78="Sick Leave Without Pay",
   E78="Vacation Leave Without Pay",
   E78="Rest Day"), 0,
OR(E78="Approved Sick Leave",
   E78="Approved Vacation Leave"), 1,
D78="Regular Non-Working Holiday",
    IF(E78="Worked",
        IF(F78="Yes",2.6,2),
        1),
D78="Regular Working Holiday",
    IF(E78="Worked",
        IF(F78="Yes",2.6,2),
        1),
D78="Special Non-Working Holiday",
    IF(E78="Worked",
        IF(F78="Yes",1.5,1.3),
        0),
D78="Special Working Holiday",
    1,
D78="Regular",
    IF(F78="Yes",
        IF(E78="Worked",1.3,0),
        IF(E78="Worked",1,0)
    )
)</f>
        <v>1</v>
      </c>
      <c r="N78" cm="1">
        <f t="array" ref="N78">_xlfn.IFS(
F78="No",
    _xlfn.IFS(
        D78="Regular", 1.25,
        OR(D78="Special Working Holiday", D78="Special Non-Working Holiday"), 1.3*1.3,
        OR(D78="Regular Working Holiday", D78="Regular Non-Working Holiday"), 2*1.3
    ),
F78="Yes",
    _xlfn.IFS(
        D78="Regular", 1.3*1.3,
        OR(D78="Special Working Holiday", D78="Special Non-Working Holiday"), 1.5*1.3,
        OR(D78="Regular Working Holiday", D78="Regular Non-Working Holiday"), 2.6*1.3
    )
)</f>
        <v>1.25</v>
      </c>
      <c r="O78" s="9">
        <f t="shared" si="5"/>
        <v>800</v>
      </c>
      <c r="P78" t="str" cm="1">
        <f t="array" ref="P78">_xlfn.IFS(
  OR(DAY(B78)=5, DAY(B78)=20), "Cut-off", OR(DAY(B78)=6, DAY(B78)=21), "Start",
  OR(
     DAY(B78)=15,
     DAY(B78)=30, AND(MONTH(B78)=2,DAY(B78)=DAY(EOMONTH(B78,0)))
  ), "Payday",
  TRUE, ""
)</f>
        <v/>
      </c>
    </row>
    <row r="79" spans="1:17" x14ac:dyDescent="0.25">
      <c r="A79" s="49"/>
      <c r="B79" s="38">
        <v>46147</v>
      </c>
      <c r="C79" s="38" t="s">
        <v>11</v>
      </c>
      <c r="D79" t="str">
        <f>_xlfn.XLOOKUP(B79,'Holidays 2026'!$A$2:$A$27,'Holidays 2026'!$G$2:$G$27,"Regular",0,1)</f>
        <v>Regular</v>
      </c>
      <c r="E79" t="s">
        <v>73</v>
      </c>
      <c r="F79" t="str">
        <f t="shared" si="6"/>
        <v>No</v>
      </c>
      <c r="G79" cm="1">
        <f t="array" ref="G79">_xlfn.IFS(OR(E79="Worked",E79="Approved Sick Leave",E79="Approved Vacation Leave",E79="Holiday"),8,E79="","",OR(E79="Absent",E79="Rest Day",E79="Sick Leave Without Pay",E79="Vacation Leave Without Pay"),0)</f>
        <v>8</v>
      </c>
      <c r="H79">
        <v>0</v>
      </c>
      <c r="I79">
        <v>0</v>
      </c>
      <c r="J79">
        <v>0</v>
      </c>
      <c r="K79" s="40" t="str">
        <f t="shared" si="7"/>
        <v>7</v>
      </c>
      <c r="M79" cm="1">
        <f t="array" ref="M79">_xlfn.IFS(
OR(E79="Absent",
   E79="Sick Leave Without Pay",
   E79="Vacation Leave Without Pay",
   E79="Rest Day"), 0,
OR(E79="Approved Sick Leave",
   E79="Approved Vacation Leave"), 1,
D79="Regular Non-Working Holiday",
    IF(E79="Worked",
        IF(F79="Yes",2.6,2),
        1),
D79="Regular Working Holiday",
    IF(E79="Worked",
        IF(F79="Yes",2.6,2),
        1),
D79="Special Non-Working Holiday",
    IF(E79="Worked",
        IF(F79="Yes",1.5,1.3),
        0),
D79="Special Working Holiday",
    1,
D79="Regular",
    IF(F79="Yes",
        IF(E79="Worked",1.3,0),
        IF(E79="Worked",1,0)
    )
)</f>
        <v>1</v>
      </c>
      <c r="N79" cm="1">
        <f t="array" ref="N79">_xlfn.IFS(
F79="No",
    _xlfn.IFS(
        D79="Regular", 1.25,
        OR(D79="Special Working Holiday", D79="Special Non-Working Holiday"), 1.3*1.3,
        OR(D79="Regular Working Holiday", D79="Regular Non-Working Holiday"), 2*1.3
    ),
F79="Yes",
    _xlfn.IFS(
        D79="Regular", 1.3*1.3,
        OR(D79="Special Working Holiday", D79="Special Non-Working Holiday"), 1.5*1.3,
        OR(D79="Regular Working Holiday", D79="Regular Non-Working Holiday"), 2.6*1.3
    )
)</f>
        <v>1.25</v>
      </c>
      <c r="O79" s="9">
        <f t="shared" si="5"/>
        <v>800</v>
      </c>
      <c r="P79" t="str" cm="1">
        <f t="array" ref="P79">_xlfn.IFS(
  OR(DAY(B79)=5, DAY(B79)=20), "Cut-off", OR(DAY(B79)=6, DAY(B79)=21), "Start",
  OR(
     DAY(B79)=15,
     DAY(B79)=30, AND(MONTH(B79)=2,DAY(B79)=DAY(EOMONTH(B79,0)))
  ), "Payday",
  TRUE, ""
)</f>
        <v>Cut-off</v>
      </c>
    </row>
    <row r="80" spans="1:17" x14ac:dyDescent="0.25">
      <c r="A80" s="49"/>
      <c r="B80" s="38">
        <v>46148</v>
      </c>
      <c r="C80" s="38" t="s">
        <v>11</v>
      </c>
      <c r="D80" t="str">
        <f>_xlfn.XLOOKUP(B80,'Holidays 2026'!$A$2:$A$27,'Holidays 2026'!$G$2:$G$27,"Regular",0,1)</f>
        <v>Regular</v>
      </c>
      <c r="E80" t="s">
        <v>73</v>
      </c>
      <c r="F80" t="str">
        <f t="shared" si="6"/>
        <v>No</v>
      </c>
      <c r="G80" cm="1">
        <f t="array" ref="G80">_xlfn.IFS(OR(E80="Worked",E80="Approved Sick Leave",E80="Approved Vacation Leave",E80="Holiday"),8,E80="","",OR(E80="Absent",E80="Rest Day",E80="Sick Leave Without Pay",E80="Vacation Leave Without Pay"),0)</f>
        <v>8</v>
      </c>
      <c r="H80">
        <v>0</v>
      </c>
      <c r="I80">
        <v>0</v>
      </c>
      <c r="J80">
        <v>0</v>
      </c>
      <c r="K80" s="40" t="str">
        <f t="shared" si="7"/>
        <v>7</v>
      </c>
      <c r="M80" cm="1">
        <f t="array" ref="M80">_xlfn.IFS(
OR(E80="Absent",
   E80="Sick Leave Without Pay",
   E80="Vacation Leave Without Pay",
   E80="Rest Day"), 0,
OR(E80="Approved Sick Leave",
   E80="Approved Vacation Leave"), 1,
D80="Regular Non-Working Holiday",
    IF(E80="Worked",
        IF(F80="Yes",2.6,2),
        1),
D80="Regular Working Holiday",
    IF(E80="Worked",
        IF(F80="Yes",2.6,2),
        1),
D80="Special Non-Working Holiday",
    IF(E80="Worked",
        IF(F80="Yes",1.5,1.3),
        0),
D80="Special Working Holiday",
    1,
D80="Regular",
    IF(F80="Yes",
        IF(E80="Worked",1.3,0),
        IF(E80="Worked",1,0)
    )
)</f>
        <v>1</v>
      </c>
      <c r="N80" cm="1">
        <f t="array" ref="N80">_xlfn.IFS(
F80="No",
    _xlfn.IFS(
        D80="Regular", 1.25,
        OR(D80="Special Working Holiday", D80="Special Non-Working Holiday"), 1.3*1.3,
        OR(D80="Regular Working Holiday", D80="Regular Non-Working Holiday"), 2*1.3
    ),
F80="Yes",
    _xlfn.IFS(
        D80="Regular", 1.3*1.3,
        OR(D80="Special Working Holiday", D80="Special Non-Working Holiday"), 1.5*1.3,
        OR(D80="Regular Working Holiday", D80="Regular Non-Working Holiday"), 2.6*1.3
    )
)</f>
        <v>1.25</v>
      </c>
      <c r="O80" s="9">
        <f t="shared" si="5"/>
        <v>800</v>
      </c>
      <c r="P80" t="str" cm="1">
        <f t="array" ref="P80">_xlfn.IFS(
  OR(DAY(B80)=5, DAY(B80)=20), "Cut-off", OR(DAY(B80)=6, DAY(B80)=21), "Start",
  OR(
     DAY(B80)=15,
     DAY(B80)=30, AND(MONTH(B80)=2,DAY(B80)=DAY(EOMONTH(B80,0)))
  ), "Payday",
  TRUE, ""
)</f>
        <v>Start</v>
      </c>
    </row>
    <row r="81" spans="1:17" x14ac:dyDescent="0.25">
      <c r="A81" s="49"/>
      <c r="B81" s="38">
        <v>46149</v>
      </c>
      <c r="C81" s="38" t="s">
        <v>11</v>
      </c>
      <c r="D81" t="str">
        <f>_xlfn.XLOOKUP(B81,'Holidays 2026'!$A$2:$A$27,'Holidays 2026'!$G$2:$G$27,"Regular",0,1)</f>
        <v>Regular</v>
      </c>
      <c r="E81" t="s">
        <v>71</v>
      </c>
      <c r="F81" t="str">
        <f t="shared" si="6"/>
        <v>No</v>
      </c>
      <c r="G81" cm="1">
        <f t="array" ref="G81">_xlfn.IFS(OR(E81="Worked",E81="Approved Sick Leave",E81="Approved Vacation Leave",E81="Holiday"),8,E81="","",OR(E81="Absent",E81="Rest Day",E81="Sick Leave Without Pay",E81="Vacation Leave Without Pay"),0)</f>
        <v>8</v>
      </c>
      <c r="H81">
        <v>0</v>
      </c>
      <c r="I81">
        <v>0</v>
      </c>
      <c r="J81">
        <v>0</v>
      </c>
      <c r="K81" s="40" t="str">
        <f t="shared" si="7"/>
        <v>7</v>
      </c>
      <c r="M81" cm="1">
        <f t="array" ref="M81">_xlfn.IFS(
OR(E81="Absent",
   E81="Sick Leave Without Pay",
   E81="Vacation Leave Without Pay",
   E81="Rest Day"), 0,
OR(E81="Approved Sick Leave",
   E81="Approved Vacation Leave"), 1,
D81="Regular Non-Working Holiday",
    IF(E81="Worked",
        IF(F81="Yes",2.6,2),
        1),
D81="Regular Working Holiday",
    IF(E81="Worked",
        IF(F81="Yes",2.6,2),
        1),
D81="Special Non-Working Holiday",
    IF(E81="Worked",
        IF(F81="Yes",1.5,1.3),
        0),
D81="Special Working Holiday",
    1,
D81="Regular",
    IF(F81="Yes",
        IF(E81="Worked",1.3,0),
        IF(E81="Worked",1,0)
    )
)</f>
        <v>1</v>
      </c>
      <c r="N81" cm="1">
        <f t="array" ref="N81">_xlfn.IFS(
F81="No",
    _xlfn.IFS(
        D81="Regular", 1.25,
        OR(D81="Special Working Holiday", D81="Special Non-Working Holiday"), 1.3*1.3,
        OR(D81="Regular Working Holiday", D81="Regular Non-Working Holiday"), 2*1.3
    ),
F81="Yes",
    _xlfn.IFS(
        D81="Regular", 1.3*1.3,
        OR(D81="Special Working Holiday", D81="Special Non-Working Holiday"), 1.5*1.3,
        OR(D81="Regular Working Holiday", D81="Regular Non-Working Holiday"), 2.6*1.3
    )
)</f>
        <v>1.25</v>
      </c>
      <c r="O81" s="9">
        <f t="shared" si="5"/>
        <v>800</v>
      </c>
      <c r="P81" t="str" cm="1">
        <f t="array" ref="P81">_xlfn.IFS(
  OR(DAY(B81)=5, DAY(B81)=20), "Cut-off", OR(DAY(B81)=6, DAY(B81)=21), "Start",
  OR(
     DAY(B81)=15,
     DAY(B81)=30, AND(MONTH(B81)=2,DAY(B81)=DAY(EOMONTH(B81,0)))
  ), "Payday",
  TRUE, ""
)</f>
        <v/>
      </c>
    </row>
    <row r="82" spans="1:17" x14ac:dyDescent="0.25">
      <c r="A82" s="49"/>
      <c r="B82" s="38">
        <v>46150</v>
      </c>
      <c r="C82" s="38" t="s">
        <v>11</v>
      </c>
      <c r="D82" t="str">
        <f>_xlfn.XLOOKUP(B82,'Holidays 2026'!$A$2:$A$27,'Holidays 2026'!$G$2:$G$27,"Regular",0,1)</f>
        <v>Regular</v>
      </c>
      <c r="E82" t="s">
        <v>71</v>
      </c>
      <c r="F82" t="str">
        <f t="shared" si="6"/>
        <v>No</v>
      </c>
      <c r="G82" cm="1">
        <f t="array" ref="G82">_xlfn.IFS(OR(E82="Worked",E82="Approved Sick Leave",E82="Approved Vacation Leave",E82="Holiday"),8,E82="","",OR(E82="Absent",E82="Rest Day",E82="Sick Leave Without Pay",E82="Vacation Leave Without Pay"),0)</f>
        <v>8</v>
      </c>
      <c r="H82">
        <v>0</v>
      </c>
      <c r="I82">
        <v>0</v>
      </c>
      <c r="J82">
        <v>0</v>
      </c>
      <c r="K82" s="40" t="str">
        <f t="shared" si="7"/>
        <v>7</v>
      </c>
      <c r="M82" cm="1">
        <f t="array" ref="M82">_xlfn.IFS(
OR(E82="Absent",
   E82="Sick Leave Without Pay",
   E82="Vacation Leave Without Pay",
   E82="Rest Day"), 0,
OR(E82="Approved Sick Leave",
   E82="Approved Vacation Leave"), 1,
D82="Regular Non-Working Holiday",
    IF(E82="Worked",
        IF(F82="Yes",2.6,2),
        1),
D82="Regular Working Holiday",
    IF(E82="Worked",
        IF(F82="Yes",2.6,2),
        1),
D82="Special Non-Working Holiday",
    IF(E82="Worked",
        IF(F82="Yes",1.5,1.3),
        0),
D82="Special Working Holiday",
    1,
D82="Regular",
    IF(F82="Yes",
        IF(E82="Worked",1.3,0),
        IF(E82="Worked",1,0)
    )
)</f>
        <v>1</v>
      </c>
      <c r="N82" cm="1">
        <f t="array" ref="N82">_xlfn.IFS(
F82="No",
    _xlfn.IFS(
        D82="Regular", 1.25,
        OR(D82="Special Working Holiday", D82="Special Non-Working Holiday"), 1.3*1.3,
        OR(D82="Regular Working Holiday", D82="Regular Non-Working Holiday"), 2*1.3
    ),
F82="Yes",
    _xlfn.IFS(
        D82="Regular", 1.3*1.3,
        OR(D82="Special Working Holiday", D82="Special Non-Working Holiday"), 1.5*1.3,
        OR(D82="Regular Working Holiday", D82="Regular Non-Working Holiday"), 2.6*1.3
    )
)</f>
        <v>1.25</v>
      </c>
      <c r="O82" s="9">
        <f t="shared" si="5"/>
        <v>800</v>
      </c>
      <c r="P82" t="str" cm="1">
        <f t="array" ref="P82">_xlfn.IFS(
  OR(DAY(B82)=5, DAY(B82)=20), "Cut-off", OR(DAY(B82)=6, DAY(B82)=21), "Start",
  OR(
     DAY(B82)=15,
     DAY(B82)=30, AND(MONTH(B82)=2,DAY(B82)=DAY(EOMONTH(B82,0)))
  ), "Payday",
  TRUE, ""
)</f>
        <v/>
      </c>
    </row>
    <row r="83" spans="1:17" x14ac:dyDescent="0.25">
      <c r="A83" s="49"/>
      <c r="B83" s="38">
        <v>46151</v>
      </c>
      <c r="C83" s="38" t="s">
        <v>11</v>
      </c>
      <c r="D83" t="str">
        <f>_xlfn.XLOOKUP(B83,'Holidays 2026'!$A$2:$A$27,'Holidays 2026'!$G$2:$G$27,"Regular",0,1)</f>
        <v>Regular</v>
      </c>
      <c r="E83" t="s">
        <v>82</v>
      </c>
      <c r="F83" t="str">
        <f t="shared" si="6"/>
        <v>Yes</v>
      </c>
      <c r="G83" cm="1">
        <f t="array" ref="G83">_xlfn.IFS(OR(E83="Worked",E83="Approved Sick Leave",E83="Approved Vacation Leave",E83="Holiday"),8,E83="","",OR(E83="Absent",E83="Rest Day",E83="Sick Leave Without Pay",E83="Vacation Leave Without Pay"),0)</f>
        <v>0</v>
      </c>
      <c r="H83">
        <v>0</v>
      </c>
      <c r="I83">
        <v>0</v>
      </c>
      <c r="J83">
        <v>0</v>
      </c>
      <c r="K83" s="40">
        <f t="shared" si="7"/>
        <v>0</v>
      </c>
      <c r="M83" cm="1">
        <f t="array" ref="M83">_xlfn.IFS(
OR(E83="Absent",
   E83="Sick Leave Without Pay",
   E83="Vacation Leave Without Pay",
   E83="Rest Day"), 0,
OR(E83="Approved Sick Leave",
   E83="Approved Vacation Leave"), 1,
D83="Regular Non-Working Holiday",
    IF(E83="Worked",
        IF(F83="Yes",2.6,2),
        1),
D83="Regular Working Holiday",
    IF(E83="Worked",
        IF(F83="Yes",2.6,2),
        1),
D83="Special Non-Working Holiday",
    IF(E83="Worked",
        IF(F83="Yes",1.5,1.3),
        0),
D83="Special Working Holiday",
    1,
D83="Regular",
    IF(F83="Yes",
        IF(E83="Worked",1.3,0),
        IF(E83="Worked",1,0)
    )
)</f>
        <v>0</v>
      </c>
      <c r="N83" cm="1">
        <f t="array" ref="N83">_xlfn.IFS(
F83="No",
    _xlfn.IFS(
        D83="Regular", 1.25,
        OR(D83="Special Working Holiday", D83="Special Non-Working Holiday"), 1.3*1.3,
        OR(D83="Regular Working Holiday", D83="Regular Non-Working Holiday"), 2*1.3
    ),
F83="Yes",
    _xlfn.IFS(
        D83="Regular", 1.3*1.3,
        OR(D83="Special Working Holiday", D83="Special Non-Working Holiday"), 1.5*1.3,
        OR(D83="Regular Working Holiday", D83="Regular Non-Working Holiday"), 2.6*1.3
    )
)</f>
        <v>1.6900000000000002</v>
      </c>
      <c r="O83" s="9">
        <f t="shared" si="5"/>
        <v>0</v>
      </c>
      <c r="P83" t="str" cm="1">
        <f t="array" ref="P83">_xlfn.IFS(
  OR(DAY(B83)=5, DAY(B83)=20), "Cut-off", OR(DAY(B83)=6, DAY(B83)=21), "Start",
  OR(
     DAY(B83)=15,
     DAY(B83)=30, AND(MONTH(B83)=2,DAY(B83)=DAY(EOMONTH(B83,0)))
  ), "Payday",
  TRUE, ""
)</f>
        <v/>
      </c>
    </row>
    <row r="84" spans="1:17" x14ac:dyDescent="0.25">
      <c r="A84" s="49"/>
      <c r="B84" s="38">
        <v>46152</v>
      </c>
      <c r="C84" s="38" t="s">
        <v>11</v>
      </c>
      <c r="D84" t="str">
        <f>_xlfn.XLOOKUP(B84,'Holidays 2026'!$A$2:$A$27,'Holidays 2026'!$G$2:$G$27,"Regular",0,1)</f>
        <v>Regular</v>
      </c>
      <c r="E84" t="s">
        <v>82</v>
      </c>
      <c r="F84" t="str">
        <f t="shared" si="6"/>
        <v>Yes</v>
      </c>
      <c r="G84" cm="1">
        <f t="array" ref="G84">_xlfn.IFS(OR(E84="Worked",E84="Approved Sick Leave",E84="Approved Vacation Leave",E84="Holiday"),8,E84="","",OR(E84="Absent",E84="Rest Day",E84="Sick Leave Without Pay",E84="Vacation Leave Without Pay"),0)</f>
        <v>0</v>
      </c>
      <c r="H84">
        <v>0</v>
      </c>
      <c r="I84">
        <v>0</v>
      </c>
      <c r="J84">
        <v>0</v>
      </c>
      <c r="K84" s="40">
        <f t="shared" si="7"/>
        <v>0</v>
      </c>
      <c r="M84" cm="1">
        <f t="array" ref="M84">_xlfn.IFS(
OR(E84="Absent",
   E84="Sick Leave Without Pay",
   E84="Vacation Leave Without Pay",
   E84="Rest Day"), 0,
OR(E84="Approved Sick Leave",
   E84="Approved Vacation Leave"), 1,
D84="Regular Non-Working Holiday",
    IF(E84="Worked",
        IF(F84="Yes",2.6,2),
        1),
D84="Regular Working Holiday",
    IF(E84="Worked",
        IF(F84="Yes",2.6,2),
        1),
D84="Special Non-Working Holiday",
    IF(E84="Worked",
        IF(F84="Yes",1.5,1.3),
        0),
D84="Special Working Holiday",
    1,
D84="Regular",
    IF(F84="Yes",
        IF(E84="Worked",1.3,0),
        IF(E84="Worked",1,0)
    )
)</f>
        <v>0</v>
      </c>
      <c r="N84" cm="1">
        <f t="array" ref="N84">_xlfn.IFS(
F84="No",
    _xlfn.IFS(
        D84="Regular", 1.25,
        OR(D84="Special Working Holiday", D84="Special Non-Working Holiday"), 1.3*1.3,
        OR(D84="Regular Working Holiday", D84="Regular Non-Working Holiday"), 2*1.3
    ),
F84="Yes",
    _xlfn.IFS(
        D84="Regular", 1.3*1.3,
        OR(D84="Special Working Holiday", D84="Special Non-Working Holiday"), 1.5*1.3,
        OR(D84="Regular Working Holiday", D84="Regular Non-Working Holiday"), 2.6*1.3
    )
)</f>
        <v>1.6900000000000002</v>
      </c>
      <c r="O84" s="9">
        <f t="shared" si="5"/>
        <v>0</v>
      </c>
      <c r="P84" t="str" cm="1">
        <f t="array" ref="P84">_xlfn.IFS(
  OR(DAY(B84)=5, DAY(B84)=20), "Cut-off", OR(DAY(B84)=6, DAY(B84)=21), "Start",
  OR(
     DAY(B84)=15,
     DAY(B84)=30, AND(MONTH(B84)=2,DAY(B84)=DAY(EOMONTH(B84,0)))
  ), "Payday",
  TRUE, ""
)</f>
        <v/>
      </c>
    </row>
    <row r="85" spans="1:17" x14ac:dyDescent="0.25">
      <c r="A85" s="49"/>
      <c r="B85" s="38">
        <v>46153</v>
      </c>
      <c r="C85" s="38" t="s">
        <v>11</v>
      </c>
      <c r="D85" t="str">
        <f>_xlfn.XLOOKUP(B85,'Holidays 2026'!$A$2:$A$27,'Holidays 2026'!$G$2:$G$27,"Regular",0,1)</f>
        <v>Regular</v>
      </c>
      <c r="E85" t="s">
        <v>71</v>
      </c>
      <c r="F85" t="str">
        <f t="shared" si="6"/>
        <v>No</v>
      </c>
      <c r="G85" cm="1">
        <f t="array" ref="G85">_xlfn.IFS(OR(E85="Worked",E85="Approved Sick Leave",E85="Approved Vacation Leave",E85="Holiday"),8,E85="","",OR(E85="Absent",E85="Rest Day",E85="Sick Leave Without Pay",E85="Vacation Leave Without Pay"),0)</f>
        <v>8</v>
      </c>
      <c r="H85">
        <v>0</v>
      </c>
      <c r="I85">
        <v>0</v>
      </c>
      <c r="J85">
        <v>0</v>
      </c>
      <c r="K85" s="40" t="str">
        <f t="shared" si="7"/>
        <v>7</v>
      </c>
      <c r="M85" cm="1">
        <f t="array" ref="M85">_xlfn.IFS(
OR(E85="Absent",
   E85="Sick Leave Without Pay",
   E85="Vacation Leave Without Pay",
   E85="Rest Day"), 0,
OR(E85="Approved Sick Leave",
   E85="Approved Vacation Leave"), 1,
D85="Regular Non-Working Holiday",
    IF(E85="Worked",
        IF(F85="Yes",2.6,2),
        1),
D85="Regular Working Holiday",
    IF(E85="Worked",
        IF(F85="Yes",2.6,2),
        1),
D85="Special Non-Working Holiday",
    IF(E85="Worked",
        IF(F85="Yes",1.5,1.3),
        0),
D85="Special Working Holiday",
    1,
D85="Regular",
    IF(F85="Yes",
        IF(E85="Worked",1.3,0),
        IF(E85="Worked",1,0)
    )
)</f>
        <v>1</v>
      </c>
      <c r="N85" cm="1">
        <f t="array" ref="N85">_xlfn.IFS(
F85="No",
    _xlfn.IFS(
        D85="Regular", 1.25,
        OR(D85="Special Working Holiday", D85="Special Non-Working Holiday"), 1.3*1.3,
        OR(D85="Regular Working Holiday", D85="Regular Non-Working Holiday"), 2*1.3
    ),
F85="Yes",
    _xlfn.IFS(
        D85="Regular", 1.3*1.3,
        OR(D85="Special Working Holiday", D85="Special Non-Working Holiday"), 1.5*1.3,
        OR(D85="Regular Working Holiday", D85="Regular Non-Working Holiday"), 2.6*1.3
    )
)</f>
        <v>1.25</v>
      </c>
      <c r="O85" s="9">
        <f t="shared" si="5"/>
        <v>800</v>
      </c>
      <c r="P85" t="str" cm="1">
        <f t="array" ref="P85">_xlfn.IFS(
  OR(DAY(B85)=5, DAY(B85)=20), "Cut-off", OR(DAY(B85)=6, DAY(B85)=21), "Start",
  OR(
     DAY(B85)=15,
     DAY(B85)=30, AND(MONTH(B85)=2,DAY(B85)=DAY(EOMONTH(B85,0)))
  ), "Payday",
  TRUE, ""
)</f>
        <v/>
      </c>
    </row>
    <row r="86" spans="1:17" x14ac:dyDescent="0.25">
      <c r="A86" s="49"/>
      <c r="B86" s="38">
        <v>46154</v>
      </c>
      <c r="C86" s="38" t="s">
        <v>11</v>
      </c>
      <c r="D86" t="str">
        <f>_xlfn.XLOOKUP(B86,'Holidays 2026'!$A$2:$A$27,'Holidays 2026'!$G$2:$G$27,"Regular",0,1)</f>
        <v>Regular</v>
      </c>
      <c r="E86" t="s">
        <v>71</v>
      </c>
      <c r="F86" t="str">
        <f t="shared" si="6"/>
        <v>No</v>
      </c>
      <c r="G86" cm="1">
        <f t="array" ref="G86">_xlfn.IFS(OR(E86="Worked",E86="Approved Sick Leave",E86="Approved Vacation Leave",E86="Holiday"),8,E86="","",OR(E86="Absent",E86="Rest Day",E86="Sick Leave Without Pay",E86="Vacation Leave Without Pay"),0)</f>
        <v>8</v>
      </c>
      <c r="H86">
        <v>0</v>
      </c>
      <c r="I86">
        <v>0</v>
      </c>
      <c r="J86">
        <v>0</v>
      </c>
      <c r="K86" s="40" t="str">
        <f t="shared" si="7"/>
        <v>7</v>
      </c>
      <c r="M86" cm="1">
        <f t="array" ref="M86">_xlfn.IFS(
OR(E86="Absent",
   E86="Sick Leave Without Pay",
   E86="Vacation Leave Without Pay",
   E86="Rest Day"), 0,
OR(E86="Approved Sick Leave",
   E86="Approved Vacation Leave"), 1,
D86="Regular Non-Working Holiday",
    IF(E86="Worked",
        IF(F86="Yes",2.6,2),
        1),
D86="Regular Working Holiday",
    IF(E86="Worked",
        IF(F86="Yes",2.6,2),
        1),
D86="Special Non-Working Holiday",
    IF(E86="Worked",
        IF(F86="Yes",1.5,1.3),
        0),
D86="Special Working Holiday",
    1,
D86="Regular",
    IF(F86="Yes",
        IF(E86="Worked",1.3,0),
        IF(E86="Worked",1,0)
    )
)</f>
        <v>1</v>
      </c>
      <c r="N86" cm="1">
        <f t="array" ref="N86">_xlfn.IFS(
F86="No",
    _xlfn.IFS(
        D86="Regular", 1.25,
        OR(D86="Special Working Holiday", D86="Special Non-Working Holiday"), 1.3*1.3,
        OR(D86="Regular Working Holiday", D86="Regular Non-Working Holiday"), 2*1.3
    ),
F86="Yes",
    _xlfn.IFS(
        D86="Regular", 1.3*1.3,
        OR(D86="Special Working Holiday", D86="Special Non-Working Holiday"), 1.5*1.3,
        OR(D86="Regular Working Holiday", D86="Regular Non-Working Holiday"), 2.6*1.3
    )
)</f>
        <v>1.25</v>
      </c>
      <c r="O86" s="9">
        <f t="shared" si="5"/>
        <v>800</v>
      </c>
      <c r="P86" t="str" cm="1">
        <f t="array" ref="P86">_xlfn.IFS(
  OR(DAY(B86)=5, DAY(B86)=20), "Cut-off", OR(DAY(B86)=6, DAY(B86)=21), "Start",
  OR(
     DAY(B86)=15,
     DAY(B86)=30, AND(MONTH(B86)=2,DAY(B86)=DAY(EOMONTH(B86,0)))
  ), "Payday",
  TRUE, ""
)</f>
        <v/>
      </c>
    </row>
    <row r="87" spans="1:17" x14ac:dyDescent="0.25">
      <c r="A87" s="49"/>
      <c r="B87" s="38">
        <v>46155</v>
      </c>
      <c r="C87" s="38" t="s">
        <v>11</v>
      </c>
      <c r="D87" t="str">
        <f>_xlfn.XLOOKUP(B87,'Holidays 2026'!$A$2:$A$27,'Holidays 2026'!$G$2:$G$27,"Regular",0,1)</f>
        <v>Regular</v>
      </c>
      <c r="E87" t="s">
        <v>71</v>
      </c>
      <c r="F87" t="str">
        <f t="shared" si="6"/>
        <v>No</v>
      </c>
      <c r="G87" cm="1">
        <f t="array" ref="G87">_xlfn.IFS(OR(E87="Worked",E87="Approved Sick Leave",E87="Approved Vacation Leave",E87="Holiday"),8,E87="","",OR(E87="Absent",E87="Rest Day",E87="Sick Leave Without Pay",E87="Vacation Leave Without Pay"),0)</f>
        <v>8</v>
      </c>
      <c r="H87">
        <v>0</v>
      </c>
      <c r="I87">
        <v>0</v>
      </c>
      <c r="J87">
        <v>0</v>
      </c>
      <c r="K87" s="40" t="str">
        <f t="shared" si="7"/>
        <v>7</v>
      </c>
      <c r="M87" cm="1">
        <f t="array" ref="M87">_xlfn.IFS(
OR(E87="Absent",
   E87="Sick Leave Without Pay",
   E87="Vacation Leave Without Pay",
   E87="Rest Day"), 0,
OR(E87="Approved Sick Leave",
   E87="Approved Vacation Leave"), 1,
D87="Regular Non-Working Holiday",
    IF(E87="Worked",
        IF(F87="Yes",2.6,2),
        1),
D87="Regular Working Holiday",
    IF(E87="Worked",
        IF(F87="Yes",2.6,2),
        1),
D87="Special Non-Working Holiday",
    IF(E87="Worked",
        IF(F87="Yes",1.5,1.3),
        0),
D87="Special Working Holiday",
    1,
D87="Regular",
    IF(F87="Yes",
        IF(E87="Worked",1.3,0),
        IF(E87="Worked",1,0)
    )
)</f>
        <v>1</v>
      </c>
      <c r="N87" cm="1">
        <f t="array" ref="N87">_xlfn.IFS(
F87="No",
    _xlfn.IFS(
        D87="Regular", 1.25,
        OR(D87="Special Working Holiday", D87="Special Non-Working Holiday"), 1.3*1.3,
        OR(D87="Regular Working Holiday", D87="Regular Non-Working Holiday"), 2*1.3
    ),
F87="Yes",
    _xlfn.IFS(
        D87="Regular", 1.3*1.3,
        OR(D87="Special Working Holiday", D87="Special Non-Working Holiday"), 1.5*1.3,
        OR(D87="Regular Working Holiday", D87="Regular Non-Working Holiday"), 2.6*1.3
    )
)</f>
        <v>1.25</v>
      </c>
      <c r="O87" s="9">
        <f t="shared" si="5"/>
        <v>800</v>
      </c>
      <c r="P87" t="str" cm="1">
        <f t="array" ref="P87">_xlfn.IFS(
  OR(DAY(B87)=5, DAY(B87)=20), "Cut-off", OR(DAY(B87)=6, DAY(B87)=21), "Start",
  OR(
     DAY(B87)=15,
     DAY(B87)=30, AND(MONTH(B87)=2,DAY(B87)=DAY(EOMONTH(B87,0)))
  ), "Payday",
  TRUE, ""
)</f>
        <v/>
      </c>
    </row>
    <row r="88" spans="1:17" x14ac:dyDescent="0.25">
      <c r="A88" s="49"/>
      <c r="B88" s="38">
        <v>46156</v>
      </c>
      <c r="C88" s="38" t="s">
        <v>11</v>
      </c>
      <c r="D88" t="str">
        <f>_xlfn.XLOOKUP(B88,'Holidays 2026'!$A$2:$A$27,'Holidays 2026'!$G$2:$G$27,"Regular",0,1)</f>
        <v>Regular</v>
      </c>
      <c r="E88" t="s">
        <v>71</v>
      </c>
      <c r="F88" t="str">
        <f t="shared" si="6"/>
        <v>No</v>
      </c>
      <c r="G88" cm="1">
        <f t="array" ref="G88">_xlfn.IFS(OR(E88="Worked",E88="Approved Sick Leave",E88="Approved Vacation Leave",E88="Holiday"),8,E88="","",OR(E88="Absent",E88="Rest Day",E88="Sick Leave Without Pay",E88="Vacation Leave Without Pay"),0)</f>
        <v>8</v>
      </c>
      <c r="H88">
        <v>0</v>
      </c>
      <c r="I88">
        <v>0</v>
      </c>
      <c r="J88">
        <v>0</v>
      </c>
      <c r="K88" s="40" t="str">
        <f t="shared" si="7"/>
        <v>7</v>
      </c>
      <c r="M88" cm="1">
        <f t="array" ref="M88">_xlfn.IFS(
OR(E88="Absent",
   E88="Sick Leave Without Pay",
   E88="Vacation Leave Without Pay",
   E88="Rest Day"), 0,
OR(E88="Approved Sick Leave",
   E88="Approved Vacation Leave"), 1,
D88="Regular Non-Working Holiday",
    IF(E88="Worked",
        IF(F88="Yes",2.6,2),
        1),
D88="Regular Working Holiday",
    IF(E88="Worked",
        IF(F88="Yes",2.6,2),
        1),
D88="Special Non-Working Holiday",
    IF(E88="Worked",
        IF(F88="Yes",1.5,1.3),
        0),
D88="Special Working Holiday",
    1,
D88="Regular",
    IF(F88="Yes",
        IF(E88="Worked",1.3,0),
        IF(E88="Worked",1,0)
    )
)</f>
        <v>1</v>
      </c>
      <c r="N88" cm="1">
        <f t="array" ref="N88">_xlfn.IFS(
F88="No",
    _xlfn.IFS(
        D88="Regular", 1.25,
        OR(D88="Special Working Holiday", D88="Special Non-Working Holiday"), 1.3*1.3,
        OR(D88="Regular Working Holiday", D88="Regular Non-Working Holiday"), 2*1.3
    ),
F88="Yes",
    _xlfn.IFS(
        D88="Regular", 1.3*1.3,
        OR(D88="Special Working Holiday", D88="Special Non-Working Holiday"), 1.5*1.3,
        OR(D88="Regular Working Holiday", D88="Regular Non-Working Holiday"), 2.6*1.3
    )
)</f>
        <v>1.25</v>
      </c>
      <c r="O88" s="9">
        <f t="shared" si="5"/>
        <v>800</v>
      </c>
      <c r="P88" t="str" cm="1">
        <f t="array" ref="P88">_xlfn.IFS(
  OR(DAY(B88)=5, DAY(B88)=20), "Cut-off", OR(DAY(B88)=6, DAY(B88)=21), "Start",
  OR(
     DAY(B88)=15,
     DAY(B88)=30, AND(MONTH(B88)=2,DAY(B88)=DAY(EOMONTH(B88,0)))
  ), "Payday",
  TRUE, ""
)</f>
        <v/>
      </c>
    </row>
    <row r="89" spans="1:17" x14ac:dyDescent="0.25">
      <c r="A89" s="49"/>
      <c r="B89" s="38">
        <v>46157</v>
      </c>
      <c r="C89" s="38" t="s">
        <v>11</v>
      </c>
      <c r="D89" t="str">
        <f>_xlfn.XLOOKUP(B89,'Holidays 2026'!$A$2:$A$27,'Holidays 2026'!$G$2:$G$27,"Regular",0,1)</f>
        <v>Regular</v>
      </c>
      <c r="E89" t="s">
        <v>71</v>
      </c>
      <c r="F89" t="str">
        <f t="shared" si="6"/>
        <v>No</v>
      </c>
      <c r="G89" cm="1">
        <f t="array" ref="G89">_xlfn.IFS(OR(E89="Worked",E89="Approved Sick Leave",E89="Approved Vacation Leave",E89="Holiday"),8,E89="","",OR(E89="Absent",E89="Rest Day",E89="Sick Leave Without Pay",E89="Vacation Leave Without Pay"),0)</f>
        <v>8</v>
      </c>
      <c r="H89">
        <v>0</v>
      </c>
      <c r="I89">
        <v>0</v>
      </c>
      <c r="J89">
        <v>0</v>
      </c>
      <c r="K89" s="40" t="str">
        <f t="shared" si="7"/>
        <v>7</v>
      </c>
      <c r="M89" cm="1">
        <f t="array" ref="M89">_xlfn.IFS(
OR(E89="Absent",
   E89="Sick Leave Without Pay",
   E89="Vacation Leave Without Pay",
   E89="Rest Day"), 0,
OR(E89="Approved Sick Leave",
   E89="Approved Vacation Leave"), 1,
D89="Regular Non-Working Holiday",
    IF(E89="Worked",
        IF(F89="Yes",2.6,2),
        1),
D89="Regular Working Holiday",
    IF(E89="Worked",
        IF(F89="Yes",2.6,2),
        1),
D89="Special Non-Working Holiday",
    IF(E89="Worked",
        IF(F89="Yes",1.5,1.3),
        0),
D89="Special Working Holiday",
    1,
D89="Regular",
    IF(F89="Yes",
        IF(E89="Worked",1.3,0),
        IF(E89="Worked",1,0)
    )
)</f>
        <v>1</v>
      </c>
      <c r="N89" cm="1">
        <f t="array" ref="N89">_xlfn.IFS(
F89="No",
    _xlfn.IFS(
        D89="Regular", 1.25,
        OR(D89="Special Working Holiday", D89="Special Non-Working Holiday"), 1.3*1.3,
        OR(D89="Regular Working Holiday", D89="Regular Non-Working Holiday"), 2*1.3
    ),
F89="Yes",
    _xlfn.IFS(
        D89="Regular", 1.3*1.3,
        OR(D89="Special Working Holiday", D89="Special Non-Working Holiday"), 1.5*1.3,
        OR(D89="Regular Working Holiday", D89="Regular Non-Working Holiday"), 2.6*1.3
    )
)</f>
        <v>1.25</v>
      </c>
      <c r="O89" s="9">
        <f t="shared" si="5"/>
        <v>800</v>
      </c>
      <c r="P89" t="str" cm="1">
        <f t="array" ref="P89">_xlfn.IFS(
  OR(DAY(B89)=5, DAY(B89)=20), "Cut-off", OR(DAY(B89)=6, DAY(B89)=21), "Start",
  OR(
     DAY(B89)=15,
     DAY(B89)=30, AND(MONTH(B89)=2,DAY(B89)=DAY(EOMONTH(B89,0)))
  ), "Payday",
  TRUE, ""
)</f>
        <v>Payday</v>
      </c>
      <c r="Q89" s="9">
        <f>SUM(O65:O79)</f>
        <v>9535.6321839080447</v>
      </c>
    </row>
    <row r="90" spans="1:17" x14ac:dyDescent="0.25">
      <c r="A90" s="49"/>
      <c r="B90" s="38">
        <v>46158</v>
      </c>
      <c r="C90" s="38" t="s">
        <v>11</v>
      </c>
      <c r="D90" t="str">
        <f>_xlfn.XLOOKUP(B90,'Holidays 2026'!$A$2:$A$27,'Holidays 2026'!$G$2:$G$27,"Regular",0,1)</f>
        <v>Regular</v>
      </c>
      <c r="E90" t="s">
        <v>82</v>
      </c>
      <c r="F90" t="str">
        <f t="shared" si="6"/>
        <v>Yes</v>
      </c>
      <c r="G90" cm="1">
        <f t="array" ref="G90">_xlfn.IFS(OR(E90="Worked",E90="Approved Sick Leave",E90="Approved Vacation Leave",E90="Holiday"),8,E90="","",OR(E90="Absent",E90="Rest Day",E90="Sick Leave Without Pay",E90="Vacation Leave Without Pay"),0)</f>
        <v>0</v>
      </c>
      <c r="H90">
        <v>0</v>
      </c>
      <c r="I90">
        <v>0</v>
      </c>
      <c r="J90">
        <v>0</v>
      </c>
      <c r="K90" s="40">
        <f t="shared" si="7"/>
        <v>0</v>
      </c>
      <c r="M90" cm="1">
        <f t="array" ref="M90">_xlfn.IFS(
OR(E90="Absent",
   E90="Sick Leave Without Pay",
   E90="Vacation Leave Without Pay",
   E90="Rest Day"), 0,
OR(E90="Approved Sick Leave",
   E90="Approved Vacation Leave"), 1,
D90="Regular Non-Working Holiday",
    IF(E90="Worked",
        IF(F90="Yes",2.6,2),
        1),
D90="Regular Working Holiday",
    IF(E90="Worked",
        IF(F90="Yes",2.6,2),
        1),
D90="Special Non-Working Holiday",
    IF(E90="Worked",
        IF(F90="Yes",1.5,1.3),
        0),
D90="Special Working Holiday",
    1,
D90="Regular",
    IF(F90="Yes",
        IF(E90="Worked",1.3,0),
        IF(E90="Worked",1,0)
    )
)</f>
        <v>0</v>
      </c>
      <c r="N90" cm="1">
        <f t="array" ref="N90">_xlfn.IFS(
F90="No",
    _xlfn.IFS(
        D90="Regular", 1.25,
        OR(D90="Special Working Holiday", D90="Special Non-Working Holiday"), 1.3*1.3,
        OR(D90="Regular Working Holiday", D90="Regular Non-Working Holiday"), 2*1.3
    ),
F90="Yes",
    _xlfn.IFS(
        D90="Regular", 1.3*1.3,
        OR(D90="Special Working Holiday", D90="Special Non-Working Holiday"), 1.5*1.3,
        OR(D90="Regular Working Holiday", D90="Regular Non-Working Holiday"), 2.6*1.3
    )
)</f>
        <v>1.6900000000000002</v>
      </c>
      <c r="O90" s="9">
        <f t="shared" si="5"/>
        <v>0</v>
      </c>
      <c r="P90" t="str" cm="1">
        <f t="array" ref="P90">_xlfn.IFS(
  OR(DAY(B90)=5, DAY(B90)=20), "Cut-off", OR(DAY(B90)=6, DAY(B90)=21), "Start",
  OR(
     DAY(B90)=15,
     DAY(B90)=30, AND(MONTH(B90)=2,DAY(B90)=DAY(EOMONTH(B90,0)))
  ), "Payday",
  TRUE, ""
)</f>
        <v/>
      </c>
    </row>
    <row r="91" spans="1:17" x14ac:dyDescent="0.25">
      <c r="A91" s="49"/>
      <c r="B91" s="38">
        <v>46159</v>
      </c>
      <c r="C91" s="38" t="s">
        <v>11</v>
      </c>
      <c r="D91" t="str">
        <f>_xlfn.XLOOKUP(B91,'Holidays 2026'!$A$2:$A$27,'Holidays 2026'!$G$2:$G$27,"Regular",0,1)</f>
        <v>Regular</v>
      </c>
      <c r="E91" t="s">
        <v>82</v>
      </c>
      <c r="F91" t="str">
        <f t="shared" si="6"/>
        <v>Yes</v>
      </c>
      <c r="G91" cm="1">
        <f t="array" ref="G91">_xlfn.IFS(OR(E91="Worked",E91="Approved Sick Leave",E91="Approved Vacation Leave",E91="Holiday"),8,E91="","",OR(E91="Absent",E91="Rest Day",E91="Sick Leave Without Pay",E91="Vacation Leave Without Pay"),0)</f>
        <v>0</v>
      </c>
      <c r="H91">
        <v>0</v>
      </c>
      <c r="I91">
        <v>0</v>
      </c>
      <c r="J91">
        <v>0</v>
      </c>
      <c r="K91" s="40">
        <f t="shared" si="7"/>
        <v>0</v>
      </c>
      <c r="M91" cm="1">
        <f t="array" ref="M91">_xlfn.IFS(
OR(E91="Absent",
   E91="Sick Leave Without Pay",
   E91="Vacation Leave Without Pay",
   E91="Rest Day"), 0,
OR(E91="Approved Sick Leave",
   E91="Approved Vacation Leave"), 1,
D91="Regular Non-Working Holiday",
    IF(E91="Worked",
        IF(F91="Yes",2.6,2),
        1),
D91="Regular Working Holiday",
    IF(E91="Worked",
        IF(F91="Yes",2.6,2),
        1),
D91="Special Non-Working Holiday",
    IF(E91="Worked",
        IF(F91="Yes",1.5,1.3),
        0),
D91="Special Working Holiday",
    1,
D91="Regular",
    IF(F91="Yes",
        IF(E91="Worked",1.3,0),
        IF(E91="Worked",1,0)
    )
)</f>
        <v>0</v>
      </c>
      <c r="N91" cm="1">
        <f t="array" ref="N91">_xlfn.IFS(
F91="No",
    _xlfn.IFS(
        D91="Regular", 1.25,
        OR(D91="Special Working Holiday", D91="Special Non-Working Holiday"), 1.3*1.3,
        OR(D91="Regular Working Holiday", D91="Regular Non-Working Holiday"), 2*1.3
    ),
F91="Yes",
    _xlfn.IFS(
        D91="Regular", 1.3*1.3,
        OR(D91="Special Working Holiday", D91="Special Non-Working Holiday"), 1.5*1.3,
        OR(D91="Regular Working Holiday", D91="Regular Non-Working Holiday"), 2.6*1.3
    )
)</f>
        <v>1.6900000000000002</v>
      </c>
      <c r="O91" s="9">
        <f t="shared" si="5"/>
        <v>0</v>
      </c>
      <c r="P91" t="str" cm="1">
        <f t="array" ref="P91">_xlfn.IFS(
  OR(DAY(B91)=5, DAY(B91)=20), "Cut-off", OR(DAY(B91)=6, DAY(B91)=21), "Start",
  OR(
     DAY(B91)=15,
     DAY(B91)=30, AND(MONTH(B91)=2,DAY(B91)=DAY(EOMONTH(B91,0)))
  ), "Payday",
  TRUE, ""
)</f>
        <v/>
      </c>
    </row>
    <row r="92" spans="1:17" x14ac:dyDescent="0.25">
      <c r="A92" s="49"/>
      <c r="B92" s="38">
        <v>46160</v>
      </c>
      <c r="C92" s="38" t="s">
        <v>11</v>
      </c>
      <c r="D92" t="str">
        <f>_xlfn.XLOOKUP(B92,'Holidays 2026'!$A$2:$A$27,'Holidays 2026'!$G$2:$G$27,"Regular",0,1)</f>
        <v>Regular</v>
      </c>
      <c r="E92" t="s">
        <v>71</v>
      </c>
      <c r="F92" t="str">
        <f t="shared" si="6"/>
        <v>No</v>
      </c>
      <c r="G92" cm="1">
        <f t="array" ref="G92">_xlfn.IFS(OR(E92="Worked",E92="Approved Sick Leave",E92="Approved Vacation Leave",E92="Holiday"),8,E92="","",OR(E92="Absent",E92="Rest Day",E92="Sick Leave Without Pay",E92="Vacation Leave Without Pay"),0)</f>
        <v>8</v>
      </c>
      <c r="H92">
        <v>0</v>
      </c>
      <c r="I92">
        <v>0</v>
      </c>
      <c r="J92">
        <v>0</v>
      </c>
      <c r="K92" s="40" t="str">
        <f t="shared" si="7"/>
        <v>7</v>
      </c>
      <c r="M92" cm="1">
        <f t="array" ref="M92">_xlfn.IFS(
OR(E92="Absent",
   E92="Sick Leave Without Pay",
   E92="Vacation Leave Without Pay",
   E92="Rest Day"), 0,
OR(E92="Approved Sick Leave",
   E92="Approved Vacation Leave"), 1,
D92="Regular Non-Working Holiday",
    IF(E92="Worked",
        IF(F92="Yes",2.6,2),
        1),
D92="Regular Working Holiday",
    IF(E92="Worked",
        IF(F92="Yes",2.6,2),
        1),
D92="Special Non-Working Holiday",
    IF(E92="Worked",
        IF(F92="Yes",1.5,1.3),
        0),
D92="Special Working Holiday",
    1,
D92="Regular",
    IF(F92="Yes",
        IF(E92="Worked",1.3,0),
        IF(E92="Worked",1,0)
    )
)</f>
        <v>1</v>
      </c>
      <c r="N92" cm="1">
        <f t="array" ref="N92">_xlfn.IFS(
F92="No",
    _xlfn.IFS(
        D92="Regular", 1.25,
        OR(D92="Special Working Holiday", D92="Special Non-Working Holiday"), 1.3*1.3,
        OR(D92="Regular Working Holiday", D92="Regular Non-Working Holiday"), 2*1.3
    ),
F92="Yes",
    _xlfn.IFS(
        D92="Regular", 1.3*1.3,
        OR(D92="Special Working Holiday", D92="Special Non-Working Holiday"), 1.5*1.3,
        OR(D92="Regular Working Holiday", D92="Regular Non-Working Holiday"), 2.6*1.3
    )
)</f>
        <v>1.25</v>
      </c>
      <c r="O92" s="9">
        <f t="shared" si="5"/>
        <v>800</v>
      </c>
      <c r="P92" t="str" cm="1">
        <f t="array" ref="P92">_xlfn.IFS(
  OR(DAY(B92)=5, DAY(B92)=20), "Cut-off", OR(DAY(B92)=6, DAY(B92)=21), "Start",
  OR(
     DAY(B92)=15,
     DAY(B92)=30, AND(MONTH(B92)=2,DAY(B92)=DAY(EOMONTH(B92,0)))
  ), "Payday",
  TRUE, ""
)</f>
        <v/>
      </c>
    </row>
    <row r="93" spans="1:17" x14ac:dyDescent="0.25">
      <c r="A93" s="49"/>
      <c r="B93" s="38">
        <v>46161</v>
      </c>
      <c r="C93" s="38" t="s">
        <v>11</v>
      </c>
      <c r="D93" t="str">
        <f>_xlfn.XLOOKUP(B93,'Holidays 2026'!$A$2:$A$27,'Holidays 2026'!$G$2:$G$27,"Regular",0,1)</f>
        <v>Regular</v>
      </c>
      <c r="E93" t="s">
        <v>71</v>
      </c>
      <c r="F93" t="str">
        <f t="shared" si="6"/>
        <v>No</v>
      </c>
      <c r="G93" cm="1">
        <f t="array" ref="G93">_xlfn.IFS(OR(E93="Worked",E93="Approved Sick Leave",E93="Approved Vacation Leave",E93="Holiday"),8,E93="","",OR(E93="Absent",E93="Rest Day",E93="Sick Leave Without Pay",E93="Vacation Leave Without Pay"),0)</f>
        <v>8</v>
      </c>
      <c r="H93">
        <v>0</v>
      </c>
      <c r="I93">
        <v>0</v>
      </c>
      <c r="J93">
        <v>0</v>
      </c>
      <c r="K93" s="40" t="str">
        <f t="shared" si="7"/>
        <v>7</v>
      </c>
      <c r="M93" cm="1">
        <f t="array" ref="M93">_xlfn.IFS(
OR(E93="Absent",
   E93="Sick Leave Without Pay",
   E93="Vacation Leave Without Pay",
   E93="Rest Day"), 0,
OR(E93="Approved Sick Leave",
   E93="Approved Vacation Leave"), 1,
D93="Regular Non-Working Holiday",
    IF(E93="Worked",
        IF(F93="Yes",2.6,2),
        1),
D93="Regular Working Holiday",
    IF(E93="Worked",
        IF(F93="Yes",2.6,2),
        1),
D93="Special Non-Working Holiday",
    IF(E93="Worked",
        IF(F93="Yes",1.5,1.3),
        0),
D93="Special Working Holiday",
    1,
D93="Regular",
    IF(F93="Yes",
        IF(E93="Worked",1.3,0),
        IF(E93="Worked",1,0)
    )
)</f>
        <v>1</v>
      </c>
      <c r="N93" cm="1">
        <f t="array" ref="N93">_xlfn.IFS(
F93="No",
    _xlfn.IFS(
        D93="Regular", 1.25,
        OR(D93="Special Working Holiday", D93="Special Non-Working Holiday"), 1.3*1.3,
        OR(D93="Regular Working Holiday", D93="Regular Non-Working Holiday"), 2*1.3
    ),
F93="Yes",
    _xlfn.IFS(
        D93="Regular", 1.3*1.3,
        OR(D93="Special Working Holiday", D93="Special Non-Working Holiday"), 1.5*1.3,
        OR(D93="Regular Working Holiday", D93="Regular Non-Working Holiday"), 2.6*1.3
    )
)</f>
        <v>1.25</v>
      </c>
      <c r="O93" s="9">
        <f t="shared" si="5"/>
        <v>800</v>
      </c>
      <c r="P93" t="str" cm="1">
        <f t="array" ref="P93">_xlfn.IFS(
  OR(DAY(B93)=5, DAY(B93)=20), "Cut-off", OR(DAY(B93)=6, DAY(B93)=21), "Start",
  OR(
     DAY(B93)=15,
     DAY(B93)=30, AND(MONTH(B93)=2,DAY(B93)=DAY(EOMONTH(B93,0)))
  ), "Payday",
  TRUE, ""
)</f>
        <v/>
      </c>
    </row>
    <row r="94" spans="1:17" x14ac:dyDescent="0.25">
      <c r="A94" s="49"/>
      <c r="B94" s="38">
        <v>46162</v>
      </c>
      <c r="C94" s="38" t="s">
        <v>11</v>
      </c>
      <c r="D94" t="str">
        <f>_xlfn.XLOOKUP(B94,'Holidays 2026'!$A$2:$A$27,'Holidays 2026'!$G$2:$G$27,"Regular",0,1)</f>
        <v>Regular</v>
      </c>
      <c r="E94" t="s">
        <v>71</v>
      </c>
      <c r="F94" t="str">
        <f t="shared" si="6"/>
        <v>No</v>
      </c>
      <c r="G94" cm="1">
        <f t="array" ref="G94">_xlfn.IFS(OR(E94="Worked",E94="Approved Sick Leave",E94="Approved Vacation Leave",E94="Holiday"),8,E94="","",OR(E94="Absent",E94="Rest Day",E94="Sick Leave Without Pay",E94="Vacation Leave Without Pay"),0)</f>
        <v>8</v>
      </c>
      <c r="H94">
        <v>0</v>
      </c>
      <c r="I94">
        <v>0</v>
      </c>
      <c r="J94">
        <v>0</v>
      </c>
      <c r="K94" s="40" t="str">
        <f t="shared" si="7"/>
        <v>7</v>
      </c>
      <c r="M94" cm="1">
        <f t="array" ref="M94">_xlfn.IFS(
OR(E94="Absent",
   E94="Sick Leave Without Pay",
   E94="Vacation Leave Without Pay",
   E94="Rest Day"), 0,
OR(E94="Approved Sick Leave",
   E94="Approved Vacation Leave"), 1,
D94="Regular Non-Working Holiday",
    IF(E94="Worked",
        IF(F94="Yes",2.6,2),
        1),
D94="Regular Working Holiday",
    IF(E94="Worked",
        IF(F94="Yes",2.6,2),
        1),
D94="Special Non-Working Holiday",
    IF(E94="Worked",
        IF(F94="Yes",1.5,1.3),
        0),
D94="Special Working Holiday",
    1,
D94="Regular",
    IF(F94="Yes",
        IF(E94="Worked",1.3,0),
        IF(E94="Worked",1,0)
    )
)</f>
        <v>1</v>
      </c>
      <c r="N94" cm="1">
        <f t="array" ref="N94">_xlfn.IFS(
F94="No",
    _xlfn.IFS(
        D94="Regular", 1.25,
        OR(D94="Special Working Holiday", D94="Special Non-Working Holiday"), 1.3*1.3,
        OR(D94="Regular Working Holiday", D94="Regular Non-Working Holiday"), 2*1.3
    ),
F94="Yes",
    _xlfn.IFS(
        D94="Regular", 1.3*1.3,
        OR(D94="Special Working Holiday", D94="Special Non-Working Holiday"), 1.5*1.3,
        OR(D94="Regular Working Holiday", D94="Regular Non-Working Holiday"), 2.6*1.3
    )
)</f>
        <v>1.25</v>
      </c>
      <c r="O94" s="9">
        <f t="shared" si="5"/>
        <v>800</v>
      </c>
      <c r="P94" t="str" cm="1">
        <f t="array" ref="P94">_xlfn.IFS(
  OR(DAY(B94)=5, DAY(B94)=20), "Cut-off", OR(DAY(B94)=6, DAY(B94)=21), "Start",
  OR(
     DAY(B94)=15,
     DAY(B94)=30, AND(MONTH(B94)=2,DAY(B94)=DAY(EOMONTH(B94,0)))
  ), "Payday",
  TRUE, ""
)</f>
        <v>Cut-off</v>
      </c>
    </row>
    <row r="95" spans="1:17" x14ac:dyDescent="0.25">
      <c r="A95" s="49"/>
      <c r="B95" s="38">
        <v>46163</v>
      </c>
      <c r="C95" s="38" t="s">
        <v>11</v>
      </c>
      <c r="D95" t="str">
        <f>_xlfn.XLOOKUP(B95,'Holidays 2026'!$A$2:$A$27,'Holidays 2026'!$G$2:$G$27,"Regular",0,1)</f>
        <v>Regular</v>
      </c>
      <c r="E95" t="s">
        <v>71</v>
      </c>
      <c r="F95" t="str">
        <f t="shared" si="6"/>
        <v>No</v>
      </c>
      <c r="G95" cm="1">
        <f t="array" ref="G95">_xlfn.IFS(OR(E95="Worked",E95="Approved Sick Leave",E95="Approved Vacation Leave",E95="Holiday"),8,E95="","",OR(E95="Absent",E95="Rest Day",E95="Sick Leave Without Pay",E95="Vacation Leave Without Pay"),0)</f>
        <v>8</v>
      </c>
      <c r="H95">
        <v>0</v>
      </c>
      <c r="I95">
        <v>0</v>
      </c>
      <c r="J95">
        <v>0</v>
      </c>
      <c r="K95" s="40" t="str">
        <f t="shared" si="7"/>
        <v>7</v>
      </c>
      <c r="M95" cm="1">
        <f t="array" ref="M95">_xlfn.IFS(
OR(E95="Absent",
   E95="Sick Leave Without Pay",
   E95="Vacation Leave Without Pay",
   E95="Rest Day"), 0,
OR(E95="Approved Sick Leave",
   E95="Approved Vacation Leave"), 1,
D95="Regular Non-Working Holiday",
    IF(E95="Worked",
        IF(F95="Yes",2.6,2),
        1),
D95="Regular Working Holiday",
    IF(E95="Worked",
        IF(F95="Yes",2.6,2),
        1),
D95="Special Non-Working Holiday",
    IF(E95="Worked",
        IF(F95="Yes",1.5,1.3),
        0),
D95="Special Working Holiday",
    1,
D95="Regular",
    IF(F95="Yes",
        IF(E95="Worked",1.3,0),
        IF(E95="Worked",1,0)
    )
)</f>
        <v>1</v>
      </c>
      <c r="N95" cm="1">
        <f t="array" ref="N95">_xlfn.IFS(
F95="No",
    _xlfn.IFS(
        D95="Regular", 1.25,
        OR(D95="Special Working Holiday", D95="Special Non-Working Holiday"), 1.3*1.3,
        OR(D95="Regular Working Holiday", D95="Regular Non-Working Holiday"), 2*1.3
    ),
F95="Yes",
    _xlfn.IFS(
        D95="Regular", 1.3*1.3,
        OR(D95="Special Working Holiday", D95="Special Non-Working Holiday"), 1.5*1.3,
        OR(D95="Regular Working Holiday", D95="Regular Non-Working Holiday"), 2.6*1.3
    )
)</f>
        <v>1.25</v>
      </c>
      <c r="O95" s="9">
        <f t="shared" si="5"/>
        <v>800</v>
      </c>
      <c r="P95" t="str" cm="1">
        <f t="array" ref="P95">_xlfn.IFS(
  OR(DAY(B95)=5, DAY(B95)=20), "Cut-off", OR(DAY(B95)=6, DAY(B95)=21), "Start",
  OR(
     DAY(B95)=15,
     DAY(B95)=30, AND(MONTH(B95)=2,DAY(B95)=DAY(EOMONTH(B95,0)))
  ), "Payday",
  TRUE, ""
)</f>
        <v>Start</v>
      </c>
    </row>
    <row r="96" spans="1:17" x14ac:dyDescent="0.25">
      <c r="A96" s="49"/>
      <c r="B96" s="38">
        <v>46164</v>
      </c>
      <c r="C96" s="38" t="s">
        <v>11</v>
      </c>
      <c r="D96" t="str">
        <f>_xlfn.XLOOKUP(B96,'Holidays 2026'!$A$2:$A$27,'Holidays 2026'!$G$2:$G$27,"Regular",0,1)</f>
        <v>Regular</v>
      </c>
      <c r="E96" t="s">
        <v>71</v>
      </c>
      <c r="F96" t="str">
        <f t="shared" si="6"/>
        <v>No</v>
      </c>
      <c r="G96" cm="1">
        <f t="array" ref="G96">_xlfn.IFS(OR(E96="Worked",E96="Approved Sick Leave",E96="Approved Vacation Leave",E96="Holiday"),8,E96="","",OR(E96="Absent",E96="Rest Day",E96="Sick Leave Without Pay",E96="Vacation Leave Without Pay"),0)</f>
        <v>8</v>
      </c>
      <c r="H96">
        <v>0</v>
      </c>
      <c r="I96">
        <v>0</v>
      </c>
      <c r="J96">
        <v>0</v>
      </c>
      <c r="K96" s="40" t="str">
        <f t="shared" si="7"/>
        <v>7</v>
      </c>
      <c r="M96" cm="1">
        <f t="array" ref="M96">_xlfn.IFS(
OR(E96="Absent",
   E96="Sick Leave Without Pay",
   E96="Vacation Leave Without Pay",
   E96="Rest Day"), 0,
OR(E96="Approved Sick Leave",
   E96="Approved Vacation Leave"), 1,
D96="Regular Non-Working Holiday",
    IF(E96="Worked",
        IF(F96="Yes",2.6,2),
        1),
D96="Regular Working Holiday",
    IF(E96="Worked",
        IF(F96="Yes",2.6,2),
        1),
D96="Special Non-Working Holiday",
    IF(E96="Worked",
        IF(F96="Yes",1.5,1.3),
        0),
D96="Special Working Holiday",
    1,
D96="Regular",
    IF(F96="Yes",
        IF(E96="Worked",1.3,0),
        IF(E96="Worked",1,0)
    )
)</f>
        <v>1</v>
      </c>
      <c r="N96" cm="1">
        <f t="array" ref="N96">_xlfn.IFS(
F96="No",
    _xlfn.IFS(
        D96="Regular", 1.25,
        OR(D96="Special Working Holiday", D96="Special Non-Working Holiday"), 1.3*1.3,
        OR(D96="Regular Working Holiday", D96="Regular Non-Working Holiday"), 2*1.3
    ),
F96="Yes",
    _xlfn.IFS(
        D96="Regular", 1.3*1.3,
        OR(D96="Special Working Holiday", D96="Special Non-Working Holiday"), 1.5*1.3,
        OR(D96="Regular Working Holiday", D96="Regular Non-Working Holiday"), 2.6*1.3
    )
)</f>
        <v>1.25</v>
      </c>
      <c r="O96" s="9">
        <f t="shared" si="5"/>
        <v>800</v>
      </c>
      <c r="P96" t="str" cm="1">
        <f t="array" ref="P96">_xlfn.IFS(
  OR(DAY(B96)=5, DAY(B96)=20), "Cut-off", OR(DAY(B96)=6, DAY(B96)=21), "Start",
  OR(
     DAY(B96)=15,
     DAY(B96)=30, AND(MONTH(B96)=2,DAY(B96)=DAY(EOMONTH(B96,0)))
  ), "Payday",
  TRUE, ""
)</f>
        <v/>
      </c>
    </row>
    <row r="97" spans="1:17" x14ac:dyDescent="0.25">
      <c r="A97" s="49"/>
      <c r="B97" s="38">
        <v>46165</v>
      </c>
      <c r="C97" s="38" t="s">
        <v>11</v>
      </c>
      <c r="D97" t="str">
        <f>_xlfn.XLOOKUP(B97,'Holidays 2026'!$A$2:$A$27,'Holidays 2026'!$G$2:$G$27,"Regular",0,1)</f>
        <v>Regular</v>
      </c>
      <c r="E97" t="s">
        <v>82</v>
      </c>
      <c r="F97" t="str">
        <f t="shared" si="6"/>
        <v>Yes</v>
      </c>
      <c r="G97" cm="1">
        <f t="array" ref="G97">_xlfn.IFS(OR(E97="Worked",E97="Approved Sick Leave",E97="Approved Vacation Leave",E97="Holiday"),8,E97="","",OR(E97="Absent",E97="Rest Day",E97="Sick Leave Without Pay",E97="Vacation Leave Without Pay"),0)</f>
        <v>0</v>
      </c>
      <c r="H97">
        <v>0</v>
      </c>
      <c r="I97">
        <v>0</v>
      </c>
      <c r="J97">
        <v>0</v>
      </c>
      <c r="K97" s="40">
        <f t="shared" si="7"/>
        <v>0</v>
      </c>
      <c r="M97" cm="1">
        <f t="array" ref="M97">_xlfn.IFS(
OR(E97="Absent",
   E97="Sick Leave Without Pay",
   E97="Vacation Leave Without Pay",
   E97="Rest Day"), 0,
OR(E97="Approved Sick Leave",
   E97="Approved Vacation Leave"), 1,
D97="Regular Non-Working Holiday",
    IF(E97="Worked",
        IF(F97="Yes",2.6,2),
        1),
D97="Regular Working Holiday",
    IF(E97="Worked",
        IF(F97="Yes",2.6,2),
        1),
D97="Special Non-Working Holiday",
    IF(E97="Worked",
        IF(F97="Yes",1.5,1.3),
        0),
D97="Special Working Holiday",
    1,
D97="Regular",
    IF(F97="Yes",
        IF(E97="Worked",1.3,0),
        IF(E97="Worked",1,0)
    )
)</f>
        <v>0</v>
      </c>
      <c r="N97" cm="1">
        <f t="array" ref="N97">_xlfn.IFS(
F97="No",
    _xlfn.IFS(
        D97="Regular", 1.25,
        OR(D97="Special Working Holiday", D97="Special Non-Working Holiday"), 1.3*1.3,
        OR(D97="Regular Working Holiday", D97="Regular Non-Working Holiday"), 2*1.3
    ),
F97="Yes",
    _xlfn.IFS(
        D97="Regular", 1.3*1.3,
        OR(D97="Special Working Holiday", D97="Special Non-Working Holiday"), 1.5*1.3,
        OR(D97="Regular Working Holiday", D97="Regular Non-Working Holiday"), 2.6*1.3
    )
)</f>
        <v>1.6900000000000002</v>
      </c>
      <c r="O97" s="9">
        <f t="shared" si="5"/>
        <v>0</v>
      </c>
      <c r="P97" t="str" cm="1">
        <f t="array" ref="P97">_xlfn.IFS(
  OR(DAY(B97)=5, DAY(B97)=20), "Cut-off", OR(DAY(B97)=6, DAY(B97)=21), "Start",
  OR(
     DAY(B97)=15,
     DAY(B97)=30, AND(MONTH(B97)=2,DAY(B97)=DAY(EOMONTH(B97,0)))
  ), "Payday",
  TRUE, ""
)</f>
        <v/>
      </c>
    </row>
    <row r="98" spans="1:17" x14ac:dyDescent="0.25">
      <c r="A98" s="49"/>
      <c r="B98" s="38">
        <v>46166</v>
      </c>
      <c r="C98" s="38" t="s">
        <v>11</v>
      </c>
      <c r="D98" t="str">
        <f>_xlfn.XLOOKUP(B98,'Holidays 2026'!$A$2:$A$27,'Holidays 2026'!$G$2:$G$27,"Regular",0,1)</f>
        <v>Regular</v>
      </c>
      <c r="E98" t="s">
        <v>82</v>
      </c>
      <c r="F98" t="str">
        <f t="shared" si="6"/>
        <v>Yes</v>
      </c>
      <c r="G98" cm="1">
        <f t="array" ref="G98">_xlfn.IFS(OR(E98="Worked",E98="Approved Sick Leave",E98="Approved Vacation Leave",E98="Holiday"),8,E98="","",OR(E98="Absent",E98="Rest Day",E98="Sick Leave Without Pay",E98="Vacation Leave Without Pay"),0)</f>
        <v>0</v>
      </c>
      <c r="H98">
        <v>0</v>
      </c>
      <c r="I98">
        <v>0</v>
      </c>
      <c r="J98">
        <v>0</v>
      </c>
      <c r="K98" s="40">
        <f t="shared" si="7"/>
        <v>0</v>
      </c>
      <c r="M98" cm="1">
        <f t="array" ref="M98">_xlfn.IFS(
OR(E98="Absent",
   E98="Sick Leave Without Pay",
   E98="Vacation Leave Without Pay",
   E98="Rest Day"), 0,
OR(E98="Approved Sick Leave",
   E98="Approved Vacation Leave"), 1,
D98="Regular Non-Working Holiday",
    IF(E98="Worked",
        IF(F98="Yes",2.6,2),
        1),
D98="Regular Working Holiday",
    IF(E98="Worked",
        IF(F98="Yes",2.6,2),
        1),
D98="Special Non-Working Holiday",
    IF(E98="Worked",
        IF(F98="Yes",1.5,1.3),
        0),
D98="Special Working Holiday",
    1,
D98="Regular",
    IF(F98="Yes",
        IF(E98="Worked",1.3,0),
        IF(E98="Worked",1,0)
    )
)</f>
        <v>0</v>
      </c>
      <c r="N98" cm="1">
        <f t="array" ref="N98">_xlfn.IFS(
F98="No",
    _xlfn.IFS(
        D98="Regular", 1.25,
        OR(D98="Special Working Holiday", D98="Special Non-Working Holiday"), 1.3*1.3,
        OR(D98="Regular Working Holiday", D98="Regular Non-Working Holiday"), 2*1.3
    ),
F98="Yes",
    _xlfn.IFS(
        D98="Regular", 1.3*1.3,
        OR(D98="Special Working Holiday", D98="Special Non-Working Holiday"), 1.5*1.3,
        OR(D98="Regular Working Holiday", D98="Regular Non-Working Holiday"), 2.6*1.3
    )
)</f>
        <v>1.6900000000000002</v>
      </c>
      <c r="O98" s="9">
        <f t="shared" si="5"/>
        <v>0</v>
      </c>
      <c r="P98" t="str" cm="1">
        <f t="array" ref="P98">_xlfn.IFS(
  OR(DAY(B98)=5, DAY(B98)=20), "Cut-off", OR(DAY(B98)=6, DAY(B98)=21), "Start",
  OR(
     DAY(B98)=15,
     DAY(B98)=30, AND(MONTH(B98)=2,DAY(B98)=DAY(EOMONTH(B98,0)))
  ), "Payday",
  TRUE, ""
)</f>
        <v/>
      </c>
    </row>
    <row r="99" spans="1:17" x14ac:dyDescent="0.25">
      <c r="A99" s="49"/>
      <c r="B99" s="38">
        <v>46167</v>
      </c>
      <c r="C99" s="38" t="s">
        <v>11</v>
      </c>
      <c r="D99" t="str">
        <f>_xlfn.XLOOKUP(B99,'Holidays 2026'!$A$2:$A$27,'Holidays 2026'!$G$2:$G$27,"Regular",0,1)</f>
        <v>Regular Non-Working Holiday</v>
      </c>
      <c r="E99" t="s">
        <v>71</v>
      </c>
      <c r="F99" t="str">
        <f t="shared" si="6"/>
        <v>No</v>
      </c>
      <c r="G99" cm="1">
        <f t="array" ref="G99">_xlfn.IFS(OR(E99="Worked",E99="Approved Sick Leave",E99="Approved Vacation Leave",E99="Holiday"),8,E99="","",OR(E99="Absent",E99="Rest Day",E99="Sick Leave Without Pay",E99="Vacation Leave Without Pay"),0)</f>
        <v>8</v>
      </c>
      <c r="H99">
        <v>0</v>
      </c>
      <c r="I99">
        <v>0</v>
      </c>
      <c r="J99">
        <v>0</v>
      </c>
      <c r="K99" s="40" t="str">
        <f t="shared" si="7"/>
        <v>7</v>
      </c>
      <c r="M99" cm="1">
        <f t="array" ref="M99">_xlfn.IFS(
OR(E99="Absent",
   E99="Sick Leave Without Pay",
   E99="Vacation Leave Without Pay",
   E99="Rest Day"), 0,
OR(E99="Approved Sick Leave",
   E99="Approved Vacation Leave"), 1,
D99="Regular Non-Working Holiday",
    IF(E99="Worked",
        IF(F99="Yes",2.6,2),
        1),
D99="Regular Working Holiday",
    IF(E99="Worked",
        IF(F99="Yes",2.6,2),
        1),
D99="Special Non-Working Holiday",
    IF(E99="Worked",
        IF(F99="Yes",1.5,1.3),
        0),
D99="Special Working Holiday",
    1,
D99="Regular",
    IF(F99="Yes",
        IF(E99="Worked",1.3,0),
        IF(E99="Worked",1,0)
    )
)</f>
        <v>2</v>
      </c>
      <c r="N99" cm="1">
        <f t="array" ref="N99">_xlfn.IFS(
F99="No",
    _xlfn.IFS(
        D99="Regular", 1.25,
        OR(D99="Special Working Holiday", D99="Special Non-Working Holiday"), 1.3*1.3,
        OR(D99="Regular Working Holiday", D99="Regular Non-Working Holiday"), 2*1.3
    ),
F99="Yes",
    _xlfn.IFS(
        D99="Regular", 1.3*1.3,
        OR(D99="Special Working Holiday", D99="Special Non-Working Holiday"), 1.5*1.3,
        OR(D99="Regular Working Holiday", D99="Regular Non-Working Holiday"), 2.6*1.3
    )
)</f>
        <v>2.6</v>
      </c>
      <c r="O99" s="9">
        <f t="shared" si="5"/>
        <v>1535.6321839080458</v>
      </c>
      <c r="P99" t="str" cm="1">
        <f t="array" ref="P99">_xlfn.IFS(
  OR(DAY(B99)=5, DAY(B99)=20), "Cut-off", OR(DAY(B99)=6, DAY(B99)=21), "Start",
  OR(
     DAY(B99)=15,
     DAY(B99)=30, AND(MONTH(B99)=2,DAY(B99)=DAY(EOMONTH(B99,0)))
  ), "Payday",
  TRUE, ""
)</f>
        <v/>
      </c>
    </row>
    <row r="100" spans="1:17" x14ac:dyDescent="0.25">
      <c r="A100" s="49"/>
      <c r="B100" s="38">
        <v>46168</v>
      </c>
      <c r="C100" s="38" t="s">
        <v>11</v>
      </c>
      <c r="D100" t="str">
        <f>_xlfn.XLOOKUP(B100,'Holidays 2026'!$A$2:$A$27,'Holidays 2026'!$G$2:$G$27,"Regular",0,1)</f>
        <v>Regular</v>
      </c>
      <c r="E100" t="s">
        <v>71</v>
      </c>
      <c r="F100" t="str">
        <f t="shared" si="6"/>
        <v>No</v>
      </c>
      <c r="G100" cm="1">
        <f t="array" ref="G100">_xlfn.IFS(OR(E100="Worked",E100="Approved Sick Leave",E100="Approved Vacation Leave",E100="Holiday"),8,E100="","",OR(E100="Absent",E100="Rest Day",E100="Sick Leave Without Pay",E100="Vacation Leave Without Pay"),0)</f>
        <v>8</v>
      </c>
      <c r="H100">
        <v>0</v>
      </c>
      <c r="I100">
        <v>0</v>
      </c>
      <c r="J100">
        <v>0</v>
      </c>
      <c r="K100" s="40" t="str">
        <f t="shared" si="7"/>
        <v>7</v>
      </c>
      <c r="M100" cm="1">
        <f t="array" ref="M100">_xlfn.IFS(
OR(E100="Absent",
   E100="Sick Leave Without Pay",
   E100="Vacation Leave Without Pay",
   E100="Rest Day"), 0,
OR(E100="Approved Sick Leave",
   E100="Approved Vacation Leave"), 1,
D100="Regular Non-Working Holiday",
    IF(E100="Worked",
        IF(F100="Yes",2.6,2),
        1),
D100="Regular Working Holiday",
    IF(E100="Worked",
        IF(F100="Yes",2.6,2),
        1),
D100="Special Non-Working Holiday",
    IF(E100="Worked",
        IF(F100="Yes",1.5,1.3),
        0),
D100="Special Working Holiday",
    1,
D100="Regular",
    IF(F100="Yes",
        IF(E100="Worked",1.3,0),
        IF(E100="Worked",1,0)
    )
)</f>
        <v>1</v>
      </c>
      <c r="N100" cm="1">
        <f t="array" ref="N100">_xlfn.IFS(
F100="No",
    _xlfn.IFS(
        D100="Regular", 1.25,
        OR(D100="Special Working Holiday", D100="Special Non-Working Holiday"), 1.3*1.3,
        OR(D100="Regular Working Holiday", D100="Regular Non-Working Holiday"), 2*1.3
    ),
F100="Yes",
    _xlfn.IFS(
        D100="Regular", 1.3*1.3,
        OR(D100="Special Working Holiday", D100="Special Non-Working Holiday"), 1.5*1.3,
        OR(D100="Regular Working Holiday", D100="Regular Non-Working Holiday"), 2.6*1.3
    )
)</f>
        <v>1.25</v>
      </c>
      <c r="O100" s="9">
        <f t="shared" si="5"/>
        <v>800</v>
      </c>
      <c r="P100" t="str" cm="1">
        <f t="array" ref="P100">_xlfn.IFS(
  OR(DAY(B100)=5, DAY(B100)=20), "Cut-off", OR(DAY(B100)=6, DAY(B100)=21), "Start",
  OR(
     DAY(B100)=15,
     DAY(B100)=30, AND(MONTH(B100)=2,DAY(B100)=DAY(EOMONTH(B100,0)))
  ), "Payday",
  TRUE, ""
)</f>
        <v/>
      </c>
    </row>
    <row r="101" spans="1:17" x14ac:dyDescent="0.25">
      <c r="A101" s="49"/>
      <c r="B101" s="38">
        <v>46169</v>
      </c>
      <c r="C101" s="38" t="s">
        <v>11</v>
      </c>
      <c r="D101" t="str">
        <f>_xlfn.XLOOKUP(B101,'Holidays 2026'!$A$2:$A$27,'Holidays 2026'!$G$2:$G$27,"Regular",0,1)</f>
        <v>Regular Working Holiday</v>
      </c>
      <c r="E101" t="s">
        <v>71</v>
      </c>
      <c r="F101" t="str">
        <f t="shared" si="6"/>
        <v>No</v>
      </c>
      <c r="G101" cm="1">
        <f t="array" ref="G101">_xlfn.IFS(OR(E101="Worked",E101="Approved Sick Leave",E101="Approved Vacation Leave",E101="Holiday"),8,E101="","",OR(E101="Absent",E101="Rest Day",E101="Sick Leave Without Pay",E101="Vacation Leave Without Pay"),0)</f>
        <v>8</v>
      </c>
      <c r="H101">
        <v>0</v>
      </c>
      <c r="I101">
        <v>0</v>
      </c>
      <c r="J101">
        <v>0</v>
      </c>
      <c r="K101" s="40" t="str">
        <f t="shared" si="7"/>
        <v>7</v>
      </c>
      <c r="M101" cm="1">
        <f t="array" ref="M101">_xlfn.IFS(
OR(E101="Absent",
   E101="Sick Leave Without Pay",
   E101="Vacation Leave Without Pay",
   E101="Rest Day"), 0,
OR(E101="Approved Sick Leave",
   E101="Approved Vacation Leave"), 1,
D101="Regular Non-Working Holiday",
    IF(E101="Worked",
        IF(F101="Yes",2.6,2),
        1),
D101="Regular Working Holiday",
    IF(E101="Worked",
        IF(F101="Yes",2.6,2),
        1),
D101="Special Non-Working Holiday",
    IF(E101="Worked",
        IF(F101="Yes",1.5,1.3),
        0),
D101="Special Working Holiday",
    1,
D101="Regular",
    IF(F101="Yes",
        IF(E101="Worked",1.3,0),
        IF(E101="Worked",1,0)
    )
)</f>
        <v>2</v>
      </c>
      <c r="N101" cm="1">
        <f t="array" ref="N101">_xlfn.IFS(
F101="No",
    _xlfn.IFS(
        D101="Regular", 1.25,
        OR(D101="Special Working Holiday", D101="Special Non-Working Holiday"), 1.3*1.3,
        OR(D101="Regular Working Holiday", D101="Regular Non-Working Holiday"), 2*1.3
    ),
F101="Yes",
    _xlfn.IFS(
        D101="Regular", 1.3*1.3,
        OR(D101="Special Working Holiday", D101="Special Non-Working Holiday"), 1.5*1.3,
        OR(D101="Regular Working Holiday", D101="Regular Non-Working Holiday"), 2.6*1.3
    )
)</f>
        <v>2.6</v>
      </c>
      <c r="O101" s="9">
        <f t="shared" si="5"/>
        <v>1535.6321839080458</v>
      </c>
      <c r="P101" t="str" cm="1">
        <f t="array" ref="P101">_xlfn.IFS(
  OR(DAY(B101)=5, DAY(B101)=20), "Cut-off", OR(DAY(B101)=6, DAY(B101)=21), "Start",
  OR(
     DAY(B101)=15,
     DAY(B101)=30, AND(MONTH(B101)=2,DAY(B101)=DAY(EOMONTH(B101,0)))
  ), "Payday",
  TRUE, ""
)</f>
        <v/>
      </c>
    </row>
    <row r="102" spans="1:17" x14ac:dyDescent="0.25">
      <c r="A102" s="49"/>
      <c r="B102" s="38">
        <v>46170</v>
      </c>
      <c r="C102" s="38" t="s">
        <v>11</v>
      </c>
      <c r="D102" t="str">
        <f>_xlfn.XLOOKUP(B102,'Holidays 2026'!$A$2:$A$27,'Holidays 2026'!$G$2:$G$27,"Regular",0,1)</f>
        <v>Regular</v>
      </c>
      <c r="E102" t="s">
        <v>71</v>
      </c>
      <c r="F102" t="str">
        <f t="shared" si="6"/>
        <v>No</v>
      </c>
      <c r="G102" cm="1">
        <f t="array" ref="G102">_xlfn.IFS(OR(E102="Worked",E102="Approved Sick Leave",E102="Approved Vacation Leave",E102="Holiday"),8,E102="","",OR(E102="Absent",E102="Rest Day",E102="Sick Leave Without Pay",E102="Vacation Leave Without Pay"),0)</f>
        <v>8</v>
      </c>
      <c r="H102">
        <v>0</v>
      </c>
      <c r="I102">
        <v>0</v>
      </c>
      <c r="J102">
        <v>0</v>
      </c>
      <c r="K102" s="40" t="str">
        <f t="shared" si="7"/>
        <v>7</v>
      </c>
      <c r="M102" cm="1">
        <f t="array" ref="M102">_xlfn.IFS(
OR(E102="Absent",
   E102="Sick Leave Without Pay",
   E102="Vacation Leave Without Pay",
   E102="Rest Day"), 0,
OR(E102="Approved Sick Leave",
   E102="Approved Vacation Leave"), 1,
D102="Regular Non-Working Holiday",
    IF(E102="Worked",
        IF(F102="Yes",2.6,2),
        1),
D102="Regular Working Holiday",
    IF(E102="Worked",
        IF(F102="Yes",2.6,2),
        1),
D102="Special Non-Working Holiday",
    IF(E102="Worked",
        IF(F102="Yes",1.5,1.3),
        0),
D102="Special Working Holiday",
    1,
D102="Regular",
    IF(F102="Yes",
        IF(E102="Worked",1.3,0),
        IF(E102="Worked",1,0)
    )
)</f>
        <v>1</v>
      </c>
      <c r="N102" cm="1">
        <f t="array" ref="N102">_xlfn.IFS(
F102="No",
    _xlfn.IFS(
        D102="Regular", 1.25,
        OR(D102="Special Working Holiday", D102="Special Non-Working Holiday"), 1.3*1.3,
        OR(D102="Regular Working Holiday", D102="Regular Non-Working Holiday"), 2*1.3
    ),
F102="Yes",
    _xlfn.IFS(
        D102="Regular", 1.3*1.3,
        OR(D102="Special Working Holiday", D102="Special Non-Working Holiday"), 1.5*1.3,
        OR(D102="Regular Working Holiday", D102="Regular Non-Working Holiday"), 2.6*1.3
    )
)</f>
        <v>1.25</v>
      </c>
      <c r="O102" s="9">
        <f t="shared" si="5"/>
        <v>800</v>
      </c>
      <c r="P102" t="str" cm="1">
        <f t="array" ref="P102">_xlfn.IFS(
  OR(DAY(B102)=5, DAY(B102)=20), "Cut-off", OR(DAY(B102)=6, DAY(B102)=21), "Start",
  OR(
     DAY(B102)=15,
     DAY(B102)=30, AND(MONTH(B102)=2,DAY(B102)=DAY(EOMONTH(B102,0)))
  ), "Payday",
  TRUE, ""
)</f>
        <v/>
      </c>
    </row>
    <row r="103" spans="1:17" x14ac:dyDescent="0.25">
      <c r="A103" s="49"/>
      <c r="B103" s="38">
        <v>46171</v>
      </c>
      <c r="C103" s="38" t="s">
        <v>11</v>
      </c>
      <c r="D103" t="str">
        <f>_xlfn.XLOOKUP(B103,'Holidays 2026'!$A$2:$A$27,'Holidays 2026'!$G$2:$G$27,"Regular",0,1)</f>
        <v>Regular</v>
      </c>
      <c r="E103" t="s">
        <v>71</v>
      </c>
      <c r="F103" t="str">
        <f t="shared" si="6"/>
        <v>No</v>
      </c>
      <c r="G103" cm="1">
        <f t="array" ref="G103">_xlfn.IFS(OR(E103="Worked",E103="Approved Sick Leave",E103="Approved Vacation Leave",E103="Holiday"),8,E103="","",OR(E103="Absent",E103="Rest Day",E103="Sick Leave Without Pay",E103="Vacation Leave Without Pay"),0)</f>
        <v>8</v>
      </c>
      <c r="H103">
        <v>0</v>
      </c>
      <c r="I103">
        <v>0</v>
      </c>
      <c r="J103">
        <v>0</v>
      </c>
      <c r="K103" s="40" t="str">
        <f t="shared" si="7"/>
        <v>7</v>
      </c>
      <c r="M103" cm="1">
        <f t="array" ref="M103">_xlfn.IFS(
OR(E103="Absent",
   E103="Sick Leave Without Pay",
   E103="Vacation Leave Without Pay",
   E103="Rest Day"), 0,
OR(E103="Approved Sick Leave",
   E103="Approved Vacation Leave"), 1,
D103="Regular Non-Working Holiday",
    IF(E103="Worked",
        IF(F103="Yes",2.6,2),
        1),
D103="Regular Working Holiday",
    IF(E103="Worked",
        IF(F103="Yes",2.6,2),
        1),
D103="Special Non-Working Holiday",
    IF(E103="Worked",
        IF(F103="Yes",1.5,1.3),
        0),
D103="Special Working Holiday",
    1,
D103="Regular",
    IF(F103="Yes",
        IF(E103="Worked",1.3,0),
        IF(E103="Worked",1,0)
    )
)</f>
        <v>1</v>
      </c>
      <c r="N103" cm="1">
        <f t="array" ref="N103">_xlfn.IFS(
F103="No",
    _xlfn.IFS(
        D103="Regular", 1.25,
        OR(D103="Special Working Holiday", D103="Special Non-Working Holiday"), 1.3*1.3,
        OR(D103="Regular Working Holiday", D103="Regular Non-Working Holiday"), 2*1.3
    ),
F103="Yes",
    _xlfn.IFS(
        D103="Regular", 1.3*1.3,
        OR(D103="Special Working Holiday", D103="Special Non-Working Holiday"), 1.5*1.3,
        OR(D103="Regular Working Holiday", D103="Regular Non-Working Holiday"), 2.6*1.3
    )
)</f>
        <v>1.25</v>
      </c>
      <c r="O103" s="9">
        <f t="shared" si="5"/>
        <v>800</v>
      </c>
      <c r="P103" t="str" cm="1">
        <f t="array" ref="P103">_xlfn.IFS(
  OR(DAY(B103)=5, DAY(B103)=20), "Cut-off", OR(DAY(B103)=6, DAY(B103)=21), "Start",
  OR(
     DAY(B103)=15,
     DAY(B103)=30, AND(MONTH(B103)=2,DAY(B103)=DAY(EOMONTH(B103,0)))
  ), "Payday",
  TRUE, ""
)</f>
        <v/>
      </c>
    </row>
    <row r="104" spans="1:17" x14ac:dyDescent="0.25">
      <c r="A104" s="49"/>
      <c r="B104" s="38">
        <v>46172</v>
      </c>
      <c r="C104" s="38" t="s">
        <v>11</v>
      </c>
      <c r="D104" t="str">
        <f>_xlfn.XLOOKUP(B104,'Holidays 2026'!$A$2:$A$27,'Holidays 2026'!$G$2:$G$27,"Regular",0,1)</f>
        <v>Regular</v>
      </c>
      <c r="E104" t="s">
        <v>82</v>
      </c>
      <c r="F104" t="str">
        <f t="shared" si="6"/>
        <v>Yes</v>
      </c>
      <c r="G104" cm="1">
        <f t="array" ref="G104">_xlfn.IFS(OR(E104="Worked",E104="Approved Sick Leave",E104="Approved Vacation Leave",E104="Holiday"),8,E104="","",OR(E104="Absent",E104="Rest Day",E104="Sick Leave Without Pay",E104="Vacation Leave Without Pay"),0)</f>
        <v>0</v>
      </c>
      <c r="H104">
        <v>0</v>
      </c>
      <c r="I104">
        <v>0</v>
      </c>
      <c r="J104">
        <v>0</v>
      </c>
      <c r="K104" s="40">
        <f t="shared" si="7"/>
        <v>0</v>
      </c>
      <c r="M104" cm="1">
        <f t="array" ref="M104">_xlfn.IFS(
OR(E104="Absent",
   E104="Sick Leave Without Pay",
   E104="Vacation Leave Without Pay",
   E104="Rest Day"), 0,
OR(E104="Approved Sick Leave",
   E104="Approved Vacation Leave"), 1,
D104="Regular Non-Working Holiday",
    IF(E104="Worked",
        IF(F104="Yes",2.6,2),
        1),
D104="Regular Working Holiday",
    IF(E104="Worked",
        IF(F104="Yes",2.6,2),
        1),
D104="Special Non-Working Holiday",
    IF(E104="Worked",
        IF(F104="Yes",1.5,1.3),
        0),
D104="Special Working Holiday",
    1,
D104="Regular",
    IF(F104="Yes",
        IF(E104="Worked",1.3,0),
        IF(E104="Worked",1,0)
    )
)</f>
        <v>0</v>
      </c>
      <c r="N104" cm="1">
        <f t="array" ref="N104">_xlfn.IFS(
F104="No",
    _xlfn.IFS(
        D104="Regular", 1.25,
        OR(D104="Special Working Holiday", D104="Special Non-Working Holiday"), 1.3*1.3,
        OR(D104="Regular Working Holiday", D104="Regular Non-Working Holiday"), 2*1.3
    ),
F104="Yes",
    _xlfn.IFS(
        D104="Regular", 1.3*1.3,
        OR(D104="Special Working Holiday", D104="Special Non-Working Holiday"), 1.5*1.3,
        OR(D104="Regular Working Holiday", D104="Regular Non-Working Holiday"), 2.6*1.3
    )
)</f>
        <v>1.6900000000000002</v>
      </c>
      <c r="O104" s="9">
        <f t="shared" si="5"/>
        <v>0</v>
      </c>
      <c r="P104" t="str" cm="1">
        <f t="array" ref="P104">_xlfn.IFS(
  OR(DAY(B104)=5, DAY(B104)=20), "Cut-off", OR(DAY(B104)=6, DAY(B104)=21), "Start",
  OR(
     DAY(B104)=15,
     DAY(B104)=30, AND(MONTH(B104)=2,DAY(B104)=DAY(EOMONTH(B104,0)))
  ), "Payday",
  TRUE, ""
)</f>
        <v>Payday</v>
      </c>
      <c r="Q104" s="9">
        <f>SUM(O80:O94)</f>
        <v>8800</v>
      </c>
    </row>
    <row r="105" spans="1:17" x14ac:dyDescent="0.25">
      <c r="A105" s="49"/>
      <c r="B105" s="38">
        <v>46173</v>
      </c>
      <c r="C105" s="38" t="s">
        <v>11</v>
      </c>
      <c r="D105" t="str">
        <f>_xlfn.XLOOKUP(B105,'Holidays 2026'!$A$2:$A$27,'Holidays 2026'!$G$2:$G$27,"Regular",0,1)</f>
        <v>Regular</v>
      </c>
      <c r="E105" t="s">
        <v>82</v>
      </c>
      <c r="F105" t="str">
        <f t="shared" si="6"/>
        <v>Yes</v>
      </c>
      <c r="G105" cm="1">
        <f t="array" ref="G105">_xlfn.IFS(OR(E105="Worked",E105="Approved Sick Leave",E105="Approved Vacation Leave",E105="Holiday"),8,E105="","",OR(E105="Absent",E105="Rest Day",E105="Sick Leave Without Pay",E105="Vacation Leave Without Pay"),0)</f>
        <v>0</v>
      </c>
      <c r="H105">
        <v>0</v>
      </c>
      <c r="I105">
        <v>0</v>
      </c>
      <c r="J105">
        <v>0</v>
      </c>
      <c r="K105" s="40">
        <f t="shared" si="7"/>
        <v>0</v>
      </c>
      <c r="M105" cm="1">
        <f t="array" ref="M105">_xlfn.IFS(
OR(E105="Absent",
   E105="Sick Leave Without Pay",
   E105="Vacation Leave Without Pay",
   E105="Rest Day"), 0,
OR(E105="Approved Sick Leave",
   E105="Approved Vacation Leave"), 1,
D105="Regular Non-Working Holiday",
    IF(E105="Worked",
        IF(F105="Yes",2.6,2),
        1),
D105="Regular Working Holiday",
    IF(E105="Worked",
        IF(F105="Yes",2.6,2),
        1),
D105="Special Non-Working Holiday",
    IF(E105="Worked",
        IF(F105="Yes",1.5,1.3),
        0),
D105="Special Working Holiday",
    1,
D105="Regular",
    IF(F105="Yes",
        IF(E105="Worked",1.3,0),
        IF(E105="Worked",1,0)
    )
)</f>
        <v>0</v>
      </c>
      <c r="N105" cm="1">
        <f t="array" ref="N105">_xlfn.IFS(
F105="No",
    _xlfn.IFS(
        D105="Regular", 1.25,
        OR(D105="Special Working Holiday", D105="Special Non-Working Holiday"), 1.3*1.3,
        OR(D105="Regular Working Holiday", D105="Regular Non-Working Holiday"), 2*1.3
    ),
F105="Yes",
    _xlfn.IFS(
        D105="Regular", 1.3*1.3,
        OR(D105="Special Working Holiday", D105="Special Non-Working Holiday"), 1.5*1.3,
        OR(D105="Regular Working Holiday", D105="Regular Non-Working Holiday"), 2.6*1.3
    )
)</f>
        <v>1.6900000000000002</v>
      </c>
      <c r="O105" s="9">
        <f t="shared" si="5"/>
        <v>0</v>
      </c>
      <c r="P105" t="str" cm="1">
        <f t="array" ref="P105">_xlfn.IFS(
  OR(DAY(B105)=5, DAY(B105)=20), "Cut-off", OR(DAY(B105)=6, DAY(B105)=21), "Start",
  OR(
     DAY(B105)=15,
     DAY(B105)=30, AND(MONTH(B105)=2,DAY(B105)=DAY(EOMONTH(B105,0)))
  ), "Payday",
  TRUE, ""
)</f>
        <v/>
      </c>
    </row>
    <row r="106" spans="1:17" x14ac:dyDescent="0.25">
      <c r="A106" s="49" t="s">
        <v>98</v>
      </c>
      <c r="B106" s="38">
        <v>46174</v>
      </c>
      <c r="C106" s="38" t="s">
        <v>12</v>
      </c>
      <c r="D106" t="str">
        <f>_xlfn.XLOOKUP(B106,'Holidays 2026'!$A$2:$A$27,'Holidays 2026'!$G$2:$G$27,"Regular",0,1)</f>
        <v>Regular</v>
      </c>
      <c r="E106" t="s">
        <v>71</v>
      </c>
      <c r="F106" t="str">
        <f t="shared" si="6"/>
        <v>No</v>
      </c>
      <c r="G106" cm="1">
        <f t="array" ref="G106">_xlfn.IFS(OR(E106="Worked",E106="Approved Sick Leave",E106="Approved Vacation Leave",E106="Holiday"),8,E106="","",OR(E106="Absent",E106="Rest Day",E106="Sick Leave Without Pay",E106="Vacation Leave Without Pay"),0)</f>
        <v>8</v>
      </c>
      <c r="H106">
        <v>0</v>
      </c>
      <c r="I106">
        <v>0</v>
      </c>
      <c r="J106">
        <v>0</v>
      </c>
      <c r="K106" s="40" t="str">
        <f t="shared" si="7"/>
        <v>7</v>
      </c>
      <c r="M106" cm="1">
        <f t="array" ref="M106">_xlfn.IFS(
OR(E106="Absent",
   E106="Sick Leave Without Pay",
   E106="Vacation Leave Without Pay",
   E106="Rest Day"), 0,
OR(E106="Approved Sick Leave",
   E106="Approved Vacation Leave"), 1,
D106="Regular Non-Working Holiday",
    IF(E106="Worked",
        IF(F106="Yes",2.6,2),
        1),
D106="Regular Working Holiday",
    IF(E106="Worked",
        IF(F106="Yes",2.6,2),
        1),
D106="Special Non-Working Holiday",
    IF(E106="Worked",
        IF(F106="Yes",1.5,1.3),
        0),
D106="Special Working Holiday",
    1,
D106="Regular",
    IF(F106="Yes",
        IF(E106="Worked",1.3,0),
        IF(E106="Worked",1,0)
    )
)</f>
        <v>1</v>
      </c>
      <c r="N106" cm="1">
        <f t="array" ref="N106">_xlfn.IFS(
F106="No",
    _xlfn.IFS(
        D106="Regular", 1.25,
        OR(D106="Special Working Holiday", D106="Special Non-Working Holiday"), 1.3*1.3,
        OR(D106="Regular Working Holiday", D106="Regular Non-Working Holiday"), 2*1.3
    ),
F106="Yes",
    _xlfn.IFS(
        D106="Regular", 1.3*1.3,
        OR(D106="Special Working Holiday", D106="Special Non-Working Holiday"), 1.5*1.3,
        OR(D106="Regular Working Holiday", D106="Regular Non-Working Holiday"), 2.6*1.3
    )
)</f>
        <v>1.25</v>
      </c>
      <c r="O106" s="9">
        <f t="shared" si="5"/>
        <v>800</v>
      </c>
      <c r="P106" t="str" cm="1">
        <f t="array" ref="P106">_xlfn.IFS(
  OR(DAY(B106)=5, DAY(B106)=20), "Cut-off", OR(DAY(B106)=6, DAY(B106)=21), "Start",
  OR(
     DAY(B106)=15,
     DAY(B106)=30, AND(MONTH(B106)=2,DAY(B106)=DAY(EOMONTH(B106,0)))
  ), "Payday",
  TRUE, ""
)</f>
        <v/>
      </c>
    </row>
    <row r="107" spans="1:17" x14ac:dyDescent="0.25">
      <c r="A107" s="49"/>
      <c r="B107" s="38">
        <v>46175</v>
      </c>
      <c r="C107" s="38" t="s">
        <v>12</v>
      </c>
      <c r="D107" t="str">
        <f>_xlfn.XLOOKUP(B107,'Holidays 2026'!$A$2:$A$27,'Holidays 2026'!$G$2:$G$27,"Regular",0,1)</f>
        <v>Regular</v>
      </c>
      <c r="E107" t="s">
        <v>71</v>
      </c>
      <c r="F107" t="str">
        <f t="shared" si="6"/>
        <v>No</v>
      </c>
      <c r="G107" cm="1">
        <f t="array" ref="G107">_xlfn.IFS(OR(E107="Worked",E107="Approved Sick Leave",E107="Approved Vacation Leave",E107="Holiday"),8,E107="","",OR(E107="Absent",E107="Rest Day",E107="Sick Leave Without Pay",E107="Vacation Leave Without Pay"),0)</f>
        <v>8</v>
      </c>
      <c r="H107">
        <v>0</v>
      </c>
      <c r="I107">
        <v>0</v>
      </c>
      <c r="J107">
        <v>0</v>
      </c>
      <c r="K107" s="40" t="str">
        <f t="shared" si="7"/>
        <v>7</v>
      </c>
      <c r="M107" cm="1">
        <f t="array" ref="M107">_xlfn.IFS(
OR(E107="Absent",
   E107="Sick Leave Without Pay",
   E107="Vacation Leave Without Pay",
   E107="Rest Day"), 0,
OR(E107="Approved Sick Leave",
   E107="Approved Vacation Leave"), 1,
D107="Regular Non-Working Holiday",
    IF(E107="Worked",
        IF(F107="Yes",2.6,2),
        1),
D107="Regular Working Holiday",
    IF(E107="Worked",
        IF(F107="Yes",2.6,2),
        1),
D107="Special Non-Working Holiday",
    IF(E107="Worked",
        IF(F107="Yes",1.5,1.3),
        0),
D107="Special Working Holiday",
    1,
D107="Regular",
    IF(F107="Yes",
        IF(E107="Worked",1.3,0),
        IF(E107="Worked",1,0)
    )
)</f>
        <v>1</v>
      </c>
      <c r="N107" cm="1">
        <f t="array" ref="N107">_xlfn.IFS(
F107="No",
    _xlfn.IFS(
        D107="Regular", 1.25,
        OR(D107="Special Working Holiday", D107="Special Non-Working Holiday"), 1.3*1.3,
        OR(D107="Regular Working Holiday", D107="Regular Non-Working Holiday"), 2*1.3
    ),
F107="Yes",
    _xlfn.IFS(
        D107="Regular", 1.3*1.3,
        OR(D107="Special Working Holiday", D107="Special Non-Working Holiday"), 1.5*1.3,
        OR(D107="Regular Working Holiday", D107="Regular Non-Working Holiday"), 2.6*1.3
    )
)</f>
        <v>1.25</v>
      </c>
      <c r="O107" s="9">
        <f t="shared" si="5"/>
        <v>800</v>
      </c>
      <c r="P107" t="str" cm="1">
        <f t="array" ref="P107">_xlfn.IFS(
  OR(DAY(B107)=5, DAY(B107)=20), "Cut-off", OR(DAY(B107)=6, DAY(B107)=21), "Start",
  OR(
     DAY(B107)=15,
     DAY(B107)=30, AND(MONTH(B107)=2,DAY(B107)=DAY(EOMONTH(B107,0)))
  ), "Payday",
  TRUE, ""
)</f>
        <v/>
      </c>
    </row>
    <row r="108" spans="1:17" x14ac:dyDescent="0.25">
      <c r="A108" s="49"/>
      <c r="B108" s="38">
        <v>46176</v>
      </c>
      <c r="C108" s="38" t="s">
        <v>12</v>
      </c>
      <c r="D108" t="str">
        <f>_xlfn.XLOOKUP(B108,'Holidays 2026'!$A$2:$A$27,'Holidays 2026'!$G$2:$G$27,"Regular",0,1)</f>
        <v>Regular</v>
      </c>
      <c r="E108" t="s">
        <v>71</v>
      </c>
      <c r="F108" t="str">
        <f t="shared" si="6"/>
        <v>No</v>
      </c>
      <c r="G108" cm="1">
        <f t="array" ref="G108">_xlfn.IFS(OR(E108="Worked",E108="Approved Sick Leave",E108="Approved Vacation Leave",E108="Holiday"),8,E108="","",OR(E108="Absent",E108="Rest Day",E108="Sick Leave Without Pay",E108="Vacation Leave Without Pay"),0)</f>
        <v>8</v>
      </c>
      <c r="H108">
        <v>0</v>
      </c>
      <c r="I108">
        <v>0</v>
      </c>
      <c r="J108">
        <v>0</v>
      </c>
      <c r="K108" s="40" t="str">
        <f t="shared" si="7"/>
        <v>7</v>
      </c>
      <c r="M108" cm="1">
        <f t="array" ref="M108">_xlfn.IFS(
OR(E108="Absent",
   E108="Sick Leave Without Pay",
   E108="Vacation Leave Without Pay",
   E108="Rest Day"), 0,
OR(E108="Approved Sick Leave",
   E108="Approved Vacation Leave"), 1,
D108="Regular Non-Working Holiday",
    IF(E108="Worked",
        IF(F108="Yes",2.6,2),
        1),
D108="Regular Working Holiday",
    IF(E108="Worked",
        IF(F108="Yes",2.6,2),
        1),
D108="Special Non-Working Holiday",
    IF(E108="Worked",
        IF(F108="Yes",1.5,1.3),
        0),
D108="Special Working Holiday",
    1,
D108="Regular",
    IF(F108="Yes",
        IF(E108="Worked",1.3,0),
        IF(E108="Worked",1,0)
    )
)</f>
        <v>1</v>
      </c>
      <c r="N108" cm="1">
        <f t="array" ref="N108">_xlfn.IFS(
F108="No",
    _xlfn.IFS(
        D108="Regular", 1.25,
        OR(D108="Special Working Holiday", D108="Special Non-Working Holiday"), 1.3*1.3,
        OR(D108="Regular Working Holiday", D108="Regular Non-Working Holiday"), 2*1.3
    ),
F108="Yes",
    _xlfn.IFS(
        D108="Regular", 1.3*1.3,
        OR(D108="Special Working Holiday", D108="Special Non-Working Holiday"), 1.5*1.3,
        OR(D108="Regular Working Holiday", D108="Regular Non-Working Holiday"), 2.6*1.3
    )
)</f>
        <v>1.25</v>
      </c>
      <c r="O108" s="9">
        <f t="shared" si="5"/>
        <v>800</v>
      </c>
      <c r="P108" t="str" cm="1">
        <f t="array" ref="P108">_xlfn.IFS(
  OR(DAY(B108)=5, DAY(B108)=20), "Cut-off", OR(DAY(B108)=6, DAY(B108)=21), "Start",
  OR(
     DAY(B108)=15,
     DAY(B108)=30, AND(MONTH(B108)=2,DAY(B108)=DAY(EOMONTH(B108,0)))
  ), "Payday",
  TRUE, ""
)</f>
        <v/>
      </c>
    </row>
    <row r="109" spans="1:17" x14ac:dyDescent="0.25">
      <c r="A109" s="49"/>
      <c r="B109" s="38">
        <v>46177</v>
      </c>
      <c r="C109" s="38" t="s">
        <v>12</v>
      </c>
      <c r="D109" t="str">
        <f>_xlfn.XLOOKUP(B109,'Holidays 2026'!$A$2:$A$27,'Holidays 2026'!$G$2:$G$27,"Regular",0,1)</f>
        <v>Regular</v>
      </c>
      <c r="E109" t="s">
        <v>71</v>
      </c>
      <c r="F109" t="str">
        <f t="shared" si="6"/>
        <v>No</v>
      </c>
      <c r="G109" cm="1">
        <f t="array" ref="G109">_xlfn.IFS(OR(E109="Worked",E109="Approved Sick Leave",E109="Approved Vacation Leave",E109="Holiday"),8,E109="","",OR(E109="Absent",E109="Rest Day",E109="Sick Leave Without Pay",E109="Vacation Leave Without Pay"),0)</f>
        <v>8</v>
      </c>
      <c r="H109">
        <v>0</v>
      </c>
      <c r="I109">
        <v>0</v>
      </c>
      <c r="J109">
        <v>0</v>
      </c>
      <c r="K109" s="40" t="str">
        <f t="shared" si="7"/>
        <v>7</v>
      </c>
      <c r="M109" cm="1">
        <f t="array" ref="M109">_xlfn.IFS(
OR(E109="Absent",
   E109="Sick Leave Without Pay",
   E109="Vacation Leave Without Pay",
   E109="Rest Day"), 0,
OR(E109="Approved Sick Leave",
   E109="Approved Vacation Leave"), 1,
D109="Regular Non-Working Holiday",
    IF(E109="Worked",
        IF(F109="Yes",2.6,2),
        1),
D109="Regular Working Holiday",
    IF(E109="Worked",
        IF(F109="Yes",2.6,2),
        1),
D109="Special Non-Working Holiday",
    IF(E109="Worked",
        IF(F109="Yes",1.5,1.3),
        0),
D109="Special Working Holiday",
    1,
D109="Regular",
    IF(F109="Yes",
        IF(E109="Worked",1.3,0),
        IF(E109="Worked",1,0)
    )
)</f>
        <v>1</v>
      </c>
      <c r="N109" cm="1">
        <f t="array" ref="N109">_xlfn.IFS(
F109="No",
    _xlfn.IFS(
        D109="Regular", 1.25,
        OR(D109="Special Working Holiday", D109="Special Non-Working Holiday"), 1.3*1.3,
        OR(D109="Regular Working Holiday", D109="Regular Non-Working Holiday"), 2*1.3
    ),
F109="Yes",
    _xlfn.IFS(
        D109="Regular", 1.3*1.3,
        OR(D109="Special Working Holiday", D109="Special Non-Working Holiday"), 1.5*1.3,
        OR(D109="Regular Working Holiday", D109="Regular Non-Working Holiday"), 2.6*1.3
    )
)</f>
        <v>1.25</v>
      </c>
      <c r="O109" s="9">
        <f t="shared" si="5"/>
        <v>800</v>
      </c>
      <c r="P109" t="str" cm="1">
        <f t="array" ref="P109">_xlfn.IFS(
  OR(DAY(B109)=5, DAY(B109)=20), "Cut-off", OR(DAY(B109)=6, DAY(B109)=21), "Start",
  OR(
     DAY(B109)=15,
     DAY(B109)=30, AND(MONTH(B109)=2,DAY(B109)=DAY(EOMONTH(B109,0)))
  ), "Payday",
  TRUE, ""
)</f>
        <v/>
      </c>
    </row>
    <row r="110" spans="1:17" x14ac:dyDescent="0.25">
      <c r="A110" s="49"/>
      <c r="B110" s="38">
        <v>46178</v>
      </c>
      <c r="C110" s="38" t="s">
        <v>12</v>
      </c>
      <c r="D110" t="str">
        <f>_xlfn.XLOOKUP(B110,'Holidays 2026'!$A$2:$A$27,'Holidays 2026'!$G$2:$G$27,"Regular",0,1)</f>
        <v>Regular</v>
      </c>
      <c r="E110" t="s">
        <v>71</v>
      </c>
      <c r="F110" t="str">
        <f t="shared" si="6"/>
        <v>No</v>
      </c>
      <c r="G110" cm="1">
        <f t="array" ref="G110">_xlfn.IFS(OR(E110="Worked",E110="Approved Sick Leave",E110="Approved Vacation Leave",E110="Holiday"),8,E110="","",OR(E110="Absent",E110="Rest Day",E110="Sick Leave Without Pay",E110="Vacation Leave Without Pay"),0)</f>
        <v>8</v>
      </c>
      <c r="H110">
        <v>0</v>
      </c>
      <c r="I110">
        <v>0</v>
      </c>
      <c r="J110">
        <v>0</v>
      </c>
      <c r="K110" s="40" t="str">
        <f t="shared" si="7"/>
        <v>7</v>
      </c>
      <c r="M110" cm="1">
        <f t="array" ref="M110">_xlfn.IFS(
OR(E110="Absent",
   E110="Sick Leave Without Pay",
   E110="Vacation Leave Without Pay",
   E110="Rest Day"), 0,
OR(E110="Approved Sick Leave",
   E110="Approved Vacation Leave"), 1,
D110="Regular Non-Working Holiday",
    IF(E110="Worked",
        IF(F110="Yes",2.6,2),
        1),
D110="Regular Working Holiday",
    IF(E110="Worked",
        IF(F110="Yes",2.6,2),
        1),
D110="Special Non-Working Holiday",
    IF(E110="Worked",
        IF(F110="Yes",1.5,1.3),
        0),
D110="Special Working Holiday",
    1,
D110="Regular",
    IF(F110="Yes",
        IF(E110="Worked",1.3,0),
        IF(E110="Worked",1,0)
    )
)</f>
        <v>1</v>
      </c>
      <c r="N110" cm="1">
        <f t="array" ref="N110">_xlfn.IFS(
F110="No",
    _xlfn.IFS(
        D110="Regular", 1.25,
        OR(D110="Special Working Holiday", D110="Special Non-Working Holiday"), 1.3*1.3,
        OR(D110="Regular Working Holiday", D110="Regular Non-Working Holiday"), 2*1.3
    ),
F110="Yes",
    _xlfn.IFS(
        D110="Regular", 1.3*1.3,
        OR(D110="Special Working Holiday", D110="Special Non-Working Holiday"), 1.5*1.3,
        OR(D110="Regular Working Holiday", D110="Regular Non-Working Holiday"), 2.6*1.3
    )
)</f>
        <v>1.25</v>
      </c>
      <c r="O110" s="9">
        <f t="shared" si="5"/>
        <v>800</v>
      </c>
      <c r="P110" t="str" cm="1">
        <f t="array" ref="P110">_xlfn.IFS(
  OR(DAY(B110)=5, DAY(B110)=20), "Cut-off", OR(DAY(B110)=6, DAY(B110)=21), "Start",
  OR(
     DAY(B110)=15,
     DAY(B110)=30, AND(MONTH(B110)=2,DAY(B110)=DAY(EOMONTH(B110,0)))
  ), "Payday",
  TRUE, ""
)</f>
        <v>Cut-off</v>
      </c>
    </row>
    <row r="111" spans="1:17" x14ac:dyDescent="0.25">
      <c r="A111" s="49"/>
      <c r="B111" s="38">
        <v>46179</v>
      </c>
      <c r="C111" s="38" t="s">
        <v>12</v>
      </c>
      <c r="D111" t="str">
        <f>_xlfn.XLOOKUP(B111,'Holidays 2026'!$A$2:$A$27,'Holidays 2026'!$G$2:$G$27,"Regular",0,1)</f>
        <v>Regular</v>
      </c>
      <c r="E111" t="s">
        <v>82</v>
      </c>
      <c r="F111" t="str">
        <f t="shared" si="6"/>
        <v>Yes</v>
      </c>
      <c r="G111" cm="1">
        <f t="array" ref="G111">_xlfn.IFS(OR(E111="Worked",E111="Approved Sick Leave",E111="Approved Vacation Leave",E111="Holiday"),8,E111="","",OR(E111="Absent",E111="Rest Day",E111="Sick Leave Without Pay",E111="Vacation Leave Without Pay"),0)</f>
        <v>0</v>
      </c>
      <c r="H111">
        <v>0</v>
      </c>
      <c r="I111">
        <v>0</v>
      </c>
      <c r="J111">
        <v>0</v>
      </c>
      <c r="K111" s="40">
        <f t="shared" si="7"/>
        <v>0</v>
      </c>
      <c r="M111" cm="1">
        <f t="array" ref="M111">_xlfn.IFS(
OR(E111="Absent",
   E111="Sick Leave Without Pay",
   E111="Vacation Leave Without Pay",
   E111="Rest Day"), 0,
OR(E111="Approved Sick Leave",
   E111="Approved Vacation Leave"), 1,
D111="Regular Non-Working Holiday",
    IF(E111="Worked",
        IF(F111="Yes",2.6,2),
        1),
D111="Regular Working Holiday",
    IF(E111="Worked",
        IF(F111="Yes",2.6,2),
        1),
D111="Special Non-Working Holiday",
    IF(E111="Worked",
        IF(F111="Yes",1.5,1.3),
        0),
D111="Special Working Holiday",
    1,
D111="Regular",
    IF(F111="Yes",
        IF(E111="Worked",1.3,0),
        IF(E111="Worked",1,0)
    )
)</f>
        <v>0</v>
      </c>
      <c r="N111" cm="1">
        <f t="array" ref="N111">_xlfn.IFS(
F111="No",
    _xlfn.IFS(
        D111="Regular", 1.25,
        OR(D111="Special Working Holiday", D111="Special Non-Working Holiday"), 1.3*1.3,
        OR(D111="Regular Working Holiday", D111="Regular Non-Working Holiday"), 2*1.3
    ),
F111="Yes",
    _xlfn.IFS(
        D111="Regular", 1.3*1.3,
        OR(D111="Special Working Holiday", D111="Special Non-Working Holiday"), 1.5*1.3,
        OR(D111="Regular Working Holiday", D111="Regular Non-Working Holiday"), 2.6*1.3
    )
)</f>
        <v>1.6900000000000002</v>
      </c>
      <c r="O111" s="9">
        <f t="shared" si="5"/>
        <v>0</v>
      </c>
      <c r="P111" t="str" cm="1">
        <f t="array" ref="P111">_xlfn.IFS(
  OR(DAY(B111)=5, DAY(B111)=20), "Cut-off", OR(DAY(B111)=6, DAY(B111)=21), "Start",
  OR(
     DAY(B111)=15,
     DAY(B111)=30, AND(MONTH(B111)=2,DAY(B111)=DAY(EOMONTH(B111,0)))
  ), "Payday",
  TRUE, ""
)</f>
        <v>Start</v>
      </c>
    </row>
    <row r="112" spans="1:17" x14ac:dyDescent="0.25">
      <c r="A112" s="49"/>
      <c r="B112" s="38">
        <v>46180</v>
      </c>
      <c r="C112" s="38" t="s">
        <v>12</v>
      </c>
      <c r="D112" t="str">
        <f>_xlfn.XLOOKUP(B112,'Holidays 2026'!$A$2:$A$27,'Holidays 2026'!$G$2:$G$27,"Regular",0,1)</f>
        <v>Regular</v>
      </c>
      <c r="E112" t="s">
        <v>82</v>
      </c>
      <c r="F112" t="str">
        <f t="shared" si="6"/>
        <v>Yes</v>
      </c>
      <c r="G112" cm="1">
        <f t="array" ref="G112">_xlfn.IFS(OR(E112="Worked",E112="Approved Sick Leave",E112="Approved Vacation Leave",E112="Holiday"),8,E112="","",OR(E112="Absent",E112="Rest Day",E112="Sick Leave Without Pay",E112="Vacation Leave Without Pay"),0)</f>
        <v>0</v>
      </c>
      <c r="H112">
        <v>0</v>
      </c>
      <c r="I112">
        <v>0</v>
      </c>
      <c r="J112">
        <v>0</v>
      </c>
      <c r="K112" s="40">
        <f t="shared" si="7"/>
        <v>0</v>
      </c>
      <c r="M112" cm="1">
        <f t="array" ref="M112">_xlfn.IFS(
OR(E112="Absent",
   E112="Sick Leave Without Pay",
   E112="Vacation Leave Without Pay",
   E112="Rest Day"), 0,
OR(E112="Approved Sick Leave",
   E112="Approved Vacation Leave"), 1,
D112="Regular Non-Working Holiday",
    IF(E112="Worked",
        IF(F112="Yes",2.6,2),
        1),
D112="Regular Working Holiday",
    IF(E112="Worked",
        IF(F112="Yes",2.6,2),
        1),
D112="Special Non-Working Holiday",
    IF(E112="Worked",
        IF(F112="Yes",1.5,1.3),
        0),
D112="Special Working Holiday",
    1,
D112="Regular",
    IF(F112="Yes",
        IF(E112="Worked",1.3,0),
        IF(E112="Worked",1,0)
    )
)</f>
        <v>0</v>
      </c>
      <c r="N112" cm="1">
        <f t="array" ref="N112">_xlfn.IFS(
F112="No",
    _xlfn.IFS(
        D112="Regular", 1.25,
        OR(D112="Special Working Holiday", D112="Special Non-Working Holiday"), 1.3*1.3,
        OR(D112="Regular Working Holiday", D112="Regular Non-Working Holiday"), 2*1.3
    ),
F112="Yes",
    _xlfn.IFS(
        D112="Regular", 1.3*1.3,
        OR(D112="Special Working Holiday", D112="Special Non-Working Holiday"), 1.5*1.3,
        OR(D112="Regular Working Holiday", D112="Regular Non-Working Holiday"), 2.6*1.3
    )
)</f>
        <v>1.6900000000000002</v>
      </c>
      <c r="O112" s="9">
        <f t="shared" si="5"/>
        <v>0</v>
      </c>
      <c r="P112" t="str" cm="1">
        <f t="array" ref="P112">_xlfn.IFS(
  OR(DAY(B112)=5, DAY(B112)=20), "Cut-off", OR(DAY(B112)=6, DAY(B112)=21), "Start",
  OR(
     DAY(B112)=15,
     DAY(B112)=30, AND(MONTH(B112)=2,DAY(B112)=DAY(EOMONTH(B112,0)))
  ), "Payday",
  TRUE, ""
)</f>
        <v/>
      </c>
    </row>
    <row r="113" spans="1:17" x14ac:dyDescent="0.25">
      <c r="A113" s="49"/>
      <c r="B113" s="38">
        <v>46181</v>
      </c>
      <c r="C113" s="38" t="s">
        <v>12</v>
      </c>
      <c r="D113" t="str">
        <f>_xlfn.XLOOKUP(B113,'Holidays 2026'!$A$2:$A$27,'Holidays 2026'!$G$2:$G$27,"Regular",0,1)</f>
        <v>Regular</v>
      </c>
      <c r="E113" t="s">
        <v>71</v>
      </c>
      <c r="F113" t="str">
        <f t="shared" si="6"/>
        <v>No</v>
      </c>
      <c r="G113" cm="1">
        <f t="array" ref="G113">_xlfn.IFS(OR(E113="Worked",E113="Approved Sick Leave",E113="Approved Vacation Leave",E113="Holiday"),8,E113="","",OR(E113="Absent",E113="Rest Day",E113="Sick Leave Without Pay",E113="Vacation Leave Without Pay"),0)</f>
        <v>8</v>
      </c>
      <c r="H113">
        <v>0</v>
      </c>
      <c r="I113">
        <v>0</v>
      </c>
      <c r="J113">
        <v>0</v>
      </c>
      <c r="K113" s="40" t="str">
        <f t="shared" si="7"/>
        <v>7</v>
      </c>
      <c r="M113" cm="1">
        <f t="array" ref="M113">_xlfn.IFS(
OR(E113="Absent",
   E113="Sick Leave Without Pay",
   E113="Vacation Leave Without Pay",
   E113="Rest Day"), 0,
OR(E113="Approved Sick Leave",
   E113="Approved Vacation Leave"), 1,
D113="Regular Non-Working Holiday",
    IF(E113="Worked",
        IF(F113="Yes",2.6,2),
        1),
D113="Regular Working Holiday",
    IF(E113="Worked",
        IF(F113="Yes",2.6,2),
        1),
D113="Special Non-Working Holiday",
    IF(E113="Worked",
        IF(F113="Yes",1.5,1.3),
        0),
D113="Special Working Holiday",
    1,
D113="Regular",
    IF(F113="Yes",
        IF(E113="Worked",1.3,0),
        IF(E113="Worked",1,0)
    )
)</f>
        <v>1</v>
      </c>
      <c r="N113" cm="1">
        <f t="array" ref="N113">_xlfn.IFS(
F113="No",
    _xlfn.IFS(
        D113="Regular", 1.25,
        OR(D113="Special Working Holiday", D113="Special Non-Working Holiday"), 1.3*1.3,
        OR(D113="Regular Working Holiday", D113="Regular Non-Working Holiday"), 2*1.3
    ),
F113="Yes",
    _xlfn.IFS(
        D113="Regular", 1.3*1.3,
        OR(D113="Special Working Holiday", D113="Special Non-Working Holiday"), 1.5*1.3,
        OR(D113="Regular Working Holiday", D113="Regular Non-Working Holiday"), 2.6*1.3
    )
)</f>
        <v>1.25</v>
      </c>
      <c r="O113" s="9">
        <f t="shared" si="5"/>
        <v>800</v>
      </c>
      <c r="P113" t="str" cm="1">
        <f t="array" ref="P113">_xlfn.IFS(
  OR(DAY(B113)=5, DAY(B113)=20), "Cut-off", OR(DAY(B113)=6, DAY(B113)=21), "Start",
  OR(
     DAY(B113)=15,
     DAY(B113)=30, AND(MONTH(B113)=2,DAY(B113)=DAY(EOMONTH(B113,0)))
  ), "Payday",
  TRUE, ""
)</f>
        <v/>
      </c>
    </row>
    <row r="114" spans="1:17" x14ac:dyDescent="0.25">
      <c r="A114" s="49"/>
      <c r="B114" s="38">
        <v>46182</v>
      </c>
      <c r="C114" s="38" t="s">
        <v>12</v>
      </c>
      <c r="D114" t="str">
        <f>_xlfn.XLOOKUP(B114,'Holidays 2026'!$A$2:$A$27,'Holidays 2026'!$G$2:$G$27,"Regular",0,1)</f>
        <v>Regular</v>
      </c>
      <c r="E114" t="s">
        <v>71</v>
      </c>
      <c r="F114" t="str">
        <f t="shared" si="6"/>
        <v>No</v>
      </c>
      <c r="G114" cm="1">
        <f t="array" ref="G114">_xlfn.IFS(OR(E114="Worked",E114="Approved Sick Leave",E114="Approved Vacation Leave",E114="Holiday"),8,E114="","",OR(E114="Absent",E114="Rest Day",E114="Sick Leave Without Pay",E114="Vacation Leave Without Pay"),0)</f>
        <v>8</v>
      </c>
      <c r="H114">
        <v>0</v>
      </c>
      <c r="I114">
        <v>0</v>
      </c>
      <c r="J114">
        <v>0</v>
      </c>
      <c r="K114" s="40" t="str">
        <f t="shared" si="7"/>
        <v>7</v>
      </c>
      <c r="M114" cm="1">
        <f t="array" ref="M114">_xlfn.IFS(
OR(E114="Absent",
   E114="Sick Leave Without Pay",
   E114="Vacation Leave Without Pay",
   E114="Rest Day"), 0,
OR(E114="Approved Sick Leave",
   E114="Approved Vacation Leave"), 1,
D114="Regular Non-Working Holiday",
    IF(E114="Worked",
        IF(F114="Yes",2.6,2),
        1),
D114="Regular Working Holiday",
    IF(E114="Worked",
        IF(F114="Yes",2.6,2),
        1),
D114="Special Non-Working Holiday",
    IF(E114="Worked",
        IF(F114="Yes",1.5,1.3),
        0),
D114="Special Working Holiday",
    1,
D114="Regular",
    IF(F114="Yes",
        IF(E114="Worked",1.3,0),
        IF(E114="Worked",1,0)
    )
)</f>
        <v>1</v>
      </c>
      <c r="N114" cm="1">
        <f t="array" ref="N114">_xlfn.IFS(
F114="No",
    _xlfn.IFS(
        D114="Regular", 1.25,
        OR(D114="Special Working Holiday", D114="Special Non-Working Holiday"), 1.3*1.3,
        OR(D114="Regular Working Holiday", D114="Regular Non-Working Holiday"), 2*1.3
    ),
F114="Yes",
    _xlfn.IFS(
        D114="Regular", 1.3*1.3,
        OR(D114="Special Working Holiday", D114="Special Non-Working Holiday"), 1.5*1.3,
        OR(D114="Regular Working Holiday", D114="Regular Non-Working Holiday"), 2.6*1.3
    )
)</f>
        <v>1.25</v>
      </c>
      <c r="O114" s="9">
        <f t="shared" si="5"/>
        <v>800</v>
      </c>
      <c r="P114" t="str" cm="1">
        <f t="array" ref="P114">_xlfn.IFS(
  OR(DAY(B114)=5, DAY(B114)=20), "Cut-off", OR(DAY(B114)=6, DAY(B114)=21), "Start",
  OR(
     DAY(B114)=15,
     DAY(B114)=30, AND(MONTH(B114)=2,DAY(B114)=DAY(EOMONTH(B114,0)))
  ), "Payday",
  TRUE, ""
)</f>
        <v/>
      </c>
    </row>
    <row r="115" spans="1:17" x14ac:dyDescent="0.25">
      <c r="A115" s="49"/>
      <c r="B115" s="38">
        <v>46183</v>
      </c>
      <c r="C115" s="38" t="s">
        <v>12</v>
      </c>
      <c r="D115" t="str">
        <f>_xlfn.XLOOKUP(B115,'Holidays 2026'!$A$2:$A$27,'Holidays 2026'!$G$2:$G$27,"Regular",0,1)</f>
        <v>Regular</v>
      </c>
      <c r="E115" t="s">
        <v>71</v>
      </c>
      <c r="F115" t="str">
        <f t="shared" si="6"/>
        <v>No</v>
      </c>
      <c r="G115" cm="1">
        <f t="array" ref="G115">_xlfn.IFS(OR(E115="Worked",E115="Approved Sick Leave",E115="Approved Vacation Leave",E115="Holiday"),8,E115="","",OR(E115="Absent",E115="Rest Day",E115="Sick Leave Without Pay",E115="Vacation Leave Without Pay"),0)</f>
        <v>8</v>
      </c>
      <c r="H115">
        <v>0</v>
      </c>
      <c r="I115">
        <v>0</v>
      </c>
      <c r="J115">
        <v>0</v>
      </c>
      <c r="K115" s="40" t="str">
        <f t="shared" si="7"/>
        <v>7</v>
      </c>
      <c r="M115" cm="1">
        <f t="array" ref="M115">_xlfn.IFS(
OR(E115="Absent",
   E115="Sick Leave Without Pay",
   E115="Vacation Leave Without Pay",
   E115="Rest Day"), 0,
OR(E115="Approved Sick Leave",
   E115="Approved Vacation Leave"), 1,
D115="Regular Non-Working Holiday",
    IF(E115="Worked",
        IF(F115="Yes",2.6,2),
        1),
D115="Regular Working Holiday",
    IF(E115="Worked",
        IF(F115="Yes",2.6,2),
        1),
D115="Special Non-Working Holiday",
    IF(E115="Worked",
        IF(F115="Yes",1.5,1.3),
        0),
D115="Special Working Holiday",
    1,
D115="Regular",
    IF(F115="Yes",
        IF(E115="Worked",1.3,0),
        IF(E115="Worked",1,0)
    )
)</f>
        <v>1</v>
      </c>
      <c r="N115" cm="1">
        <f t="array" ref="N115">_xlfn.IFS(
F115="No",
    _xlfn.IFS(
        D115="Regular", 1.25,
        OR(D115="Special Working Holiday", D115="Special Non-Working Holiday"), 1.3*1.3,
        OR(D115="Regular Working Holiday", D115="Regular Non-Working Holiday"), 2*1.3
    ),
F115="Yes",
    _xlfn.IFS(
        D115="Regular", 1.3*1.3,
        OR(D115="Special Working Holiday", D115="Special Non-Working Holiday"), 1.5*1.3,
        OR(D115="Regular Working Holiday", D115="Regular Non-Working Holiday"), 2.6*1.3
    )
)</f>
        <v>1.25</v>
      </c>
      <c r="O115" s="9">
        <f t="shared" si="5"/>
        <v>800</v>
      </c>
      <c r="P115" t="str" cm="1">
        <f t="array" ref="P115">_xlfn.IFS(
  OR(DAY(B115)=5, DAY(B115)=20), "Cut-off", OR(DAY(B115)=6, DAY(B115)=21), "Start",
  OR(
     DAY(B115)=15,
     DAY(B115)=30, AND(MONTH(B115)=2,DAY(B115)=DAY(EOMONTH(B115,0)))
  ), "Payday",
  TRUE, ""
)</f>
        <v/>
      </c>
    </row>
    <row r="116" spans="1:17" x14ac:dyDescent="0.25">
      <c r="A116" s="49"/>
      <c r="B116" s="38">
        <v>46184</v>
      </c>
      <c r="C116" s="38" t="s">
        <v>12</v>
      </c>
      <c r="D116" t="str">
        <f>_xlfn.XLOOKUP(B116,'Holidays 2026'!$A$2:$A$27,'Holidays 2026'!$G$2:$G$27,"Regular",0,1)</f>
        <v>Regular</v>
      </c>
      <c r="E116" t="s">
        <v>71</v>
      </c>
      <c r="F116" t="str">
        <f t="shared" si="6"/>
        <v>No</v>
      </c>
      <c r="G116" cm="1">
        <f t="array" ref="G116">_xlfn.IFS(OR(E116="Worked",E116="Approved Sick Leave",E116="Approved Vacation Leave",E116="Holiday"),8,E116="","",OR(E116="Absent",E116="Rest Day",E116="Sick Leave Without Pay",E116="Vacation Leave Without Pay"),0)</f>
        <v>8</v>
      </c>
      <c r="H116">
        <v>0</v>
      </c>
      <c r="I116">
        <v>0</v>
      </c>
      <c r="J116">
        <v>0</v>
      </c>
      <c r="K116" s="40" t="str">
        <f t="shared" si="7"/>
        <v>7</v>
      </c>
      <c r="M116" cm="1">
        <f t="array" ref="M116">_xlfn.IFS(
OR(E116="Absent",
   E116="Sick Leave Without Pay",
   E116="Vacation Leave Without Pay",
   E116="Rest Day"), 0,
OR(E116="Approved Sick Leave",
   E116="Approved Vacation Leave"), 1,
D116="Regular Non-Working Holiday",
    IF(E116="Worked",
        IF(F116="Yes",2.6,2),
        1),
D116="Regular Working Holiday",
    IF(E116="Worked",
        IF(F116="Yes",2.6,2),
        1),
D116="Special Non-Working Holiday",
    IF(E116="Worked",
        IF(F116="Yes",1.5,1.3),
        0),
D116="Special Working Holiday",
    1,
D116="Regular",
    IF(F116="Yes",
        IF(E116="Worked",1.3,0),
        IF(E116="Worked",1,0)
    )
)</f>
        <v>1</v>
      </c>
      <c r="N116" cm="1">
        <f t="array" ref="N116">_xlfn.IFS(
F116="No",
    _xlfn.IFS(
        D116="Regular", 1.25,
        OR(D116="Special Working Holiday", D116="Special Non-Working Holiday"), 1.3*1.3,
        OR(D116="Regular Working Holiday", D116="Regular Non-Working Holiday"), 2*1.3
    ),
F116="Yes",
    _xlfn.IFS(
        D116="Regular", 1.3*1.3,
        OR(D116="Special Working Holiday", D116="Special Non-Working Holiday"), 1.5*1.3,
        OR(D116="Regular Working Holiday", D116="Regular Non-Working Holiday"), 2.6*1.3
    )
)</f>
        <v>1.25</v>
      </c>
      <c r="O116" s="9">
        <f t="shared" si="5"/>
        <v>800</v>
      </c>
      <c r="P116" t="str" cm="1">
        <f t="array" ref="P116">_xlfn.IFS(
  OR(DAY(B116)=5, DAY(B116)=20), "Cut-off", OR(DAY(B116)=6, DAY(B116)=21), "Start",
  OR(
     DAY(B116)=15,
     DAY(B116)=30, AND(MONTH(B116)=2,DAY(B116)=DAY(EOMONTH(B116,0)))
  ), "Payday",
  TRUE, ""
)</f>
        <v/>
      </c>
    </row>
    <row r="117" spans="1:17" x14ac:dyDescent="0.25">
      <c r="A117" s="49"/>
      <c r="B117" s="38">
        <v>46185</v>
      </c>
      <c r="C117" s="38" t="s">
        <v>12</v>
      </c>
      <c r="D117" t="str">
        <f>_xlfn.XLOOKUP(B117,'Holidays 2026'!$A$2:$A$27,'Holidays 2026'!$G$2:$G$27,"Regular",0,1)</f>
        <v>Regular Working Holiday</v>
      </c>
      <c r="E117" t="s">
        <v>71</v>
      </c>
      <c r="F117" t="str">
        <f t="shared" si="6"/>
        <v>No</v>
      </c>
      <c r="G117" cm="1">
        <f t="array" ref="G117">_xlfn.IFS(OR(E117="Worked",E117="Approved Sick Leave",E117="Approved Vacation Leave",E117="Holiday"),8,E117="","",OR(E117="Absent",E117="Rest Day",E117="Sick Leave Without Pay",E117="Vacation Leave Without Pay"),0)</f>
        <v>8</v>
      </c>
      <c r="H117">
        <v>0</v>
      </c>
      <c r="I117">
        <v>0</v>
      </c>
      <c r="J117">
        <v>0</v>
      </c>
      <c r="K117" s="40" t="str">
        <f t="shared" si="7"/>
        <v>7</v>
      </c>
      <c r="M117" cm="1">
        <f t="array" ref="M117">_xlfn.IFS(
OR(E117="Absent",
   E117="Sick Leave Without Pay",
   E117="Vacation Leave Without Pay",
   E117="Rest Day"), 0,
OR(E117="Approved Sick Leave",
   E117="Approved Vacation Leave"), 1,
D117="Regular Non-Working Holiday",
    IF(E117="Worked",
        IF(F117="Yes",2.6,2),
        1),
D117="Regular Working Holiday",
    IF(E117="Worked",
        IF(F117="Yes",2.6,2),
        1),
D117="Special Non-Working Holiday",
    IF(E117="Worked",
        IF(F117="Yes",1.5,1.3),
        0),
D117="Special Working Holiday",
    1,
D117="Regular",
    IF(F117="Yes",
        IF(E117="Worked",1.3,0),
        IF(E117="Worked",1,0)
    )
)</f>
        <v>2</v>
      </c>
      <c r="N117" cm="1">
        <f t="array" ref="N117">_xlfn.IFS(
F117="No",
    _xlfn.IFS(
        D117="Regular", 1.25,
        OR(D117="Special Working Holiday", D117="Special Non-Working Holiday"), 1.3*1.3,
        OR(D117="Regular Working Holiday", D117="Regular Non-Working Holiday"), 2*1.3
    ),
F117="Yes",
    _xlfn.IFS(
        D117="Regular", 1.3*1.3,
        OR(D117="Special Working Holiday", D117="Special Non-Working Holiday"), 1.5*1.3,
        OR(D117="Regular Working Holiday", D117="Regular Non-Working Holiday"), 2.6*1.3
    )
)</f>
        <v>2.6</v>
      </c>
      <c r="O117" s="9">
        <f t="shared" si="5"/>
        <v>1535.6321839080458</v>
      </c>
      <c r="P117" t="str" cm="1">
        <f t="array" ref="P117">_xlfn.IFS(
  OR(DAY(B117)=5, DAY(B117)=20), "Cut-off", OR(DAY(B117)=6, DAY(B117)=21), "Start",
  OR(
     DAY(B117)=15,
     DAY(B117)=30, AND(MONTH(B117)=2,DAY(B117)=DAY(EOMONTH(B117,0)))
  ), "Payday",
  TRUE, ""
)</f>
        <v/>
      </c>
    </row>
    <row r="118" spans="1:17" x14ac:dyDescent="0.25">
      <c r="A118" s="49"/>
      <c r="B118" s="38">
        <v>46186</v>
      </c>
      <c r="C118" s="38" t="s">
        <v>12</v>
      </c>
      <c r="D118" t="str">
        <f>_xlfn.XLOOKUP(B118,'Holidays 2026'!$A$2:$A$27,'Holidays 2026'!$G$2:$G$27,"Regular",0,1)</f>
        <v>Regular</v>
      </c>
      <c r="E118" t="s">
        <v>82</v>
      </c>
      <c r="F118" t="str">
        <f t="shared" si="6"/>
        <v>Yes</v>
      </c>
      <c r="G118" cm="1">
        <f t="array" ref="G118">_xlfn.IFS(OR(E118="Worked",E118="Approved Sick Leave",E118="Approved Vacation Leave",E118="Holiday"),8,E118="","",OR(E118="Absent",E118="Rest Day",E118="Sick Leave Without Pay",E118="Vacation Leave Without Pay"),0)</f>
        <v>0</v>
      </c>
      <c r="H118">
        <v>0</v>
      </c>
      <c r="I118">
        <v>0</v>
      </c>
      <c r="J118">
        <v>0</v>
      </c>
      <c r="K118" s="40">
        <f t="shared" si="7"/>
        <v>0</v>
      </c>
      <c r="M118" cm="1">
        <f t="array" ref="M118">_xlfn.IFS(
OR(E118="Absent",
   E118="Sick Leave Without Pay",
   E118="Vacation Leave Without Pay",
   E118="Rest Day"), 0,
OR(E118="Approved Sick Leave",
   E118="Approved Vacation Leave"), 1,
D118="Regular Non-Working Holiday",
    IF(E118="Worked",
        IF(F118="Yes",2.6,2),
        1),
D118="Regular Working Holiday",
    IF(E118="Worked",
        IF(F118="Yes",2.6,2),
        1),
D118="Special Non-Working Holiday",
    IF(E118="Worked",
        IF(F118="Yes",1.5,1.3),
        0),
D118="Special Working Holiday",
    1,
D118="Regular",
    IF(F118="Yes",
        IF(E118="Worked",1.3,0),
        IF(E118="Worked",1,0)
    )
)</f>
        <v>0</v>
      </c>
      <c r="N118" cm="1">
        <f t="array" ref="N118">_xlfn.IFS(
F118="No",
    _xlfn.IFS(
        D118="Regular", 1.25,
        OR(D118="Special Working Holiday", D118="Special Non-Working Holiday"), 1.3*1.3,
        OR(D118="Regular Working Holiday", D118="Regular Non-Working Holiday"), 2*1.3
    ),
F118="Yes",
    _xlfn.IFS(
        D118="Regular", 1.3*1.3,
        OR(D118="Special Working Holiday", D118="Special Non-Working Holiday"), 1.5*1.3,
        OR(D118="Regular Working Holiday", D118="Regular Non-Working Holiday"), 2.6*1.3
    )
)</f>
        <v>1.6900000000000002</v>
      </c>
      <c r="O118" s="9">
        <f t="shared" si="5"/>
        <v>0</v>
      </c>
      <c r="P118" t="str" cm="1">
        <f t="array" ref="P118">_xlfn.IFS(
  OR(DAY(B118)=5, DAY(B118)=20), "Cut-off", OR(DAY(B118)=6, DAY(B118)=21), "Start",
  OR(
     DAY(B118)=15,
     DAY(B118)=30, AND(MONTH(B118)=2,DAY(B118)=DAY(EOMONTH(B118,0)))
  ), "Payday",
  TRUE, ""
)</f>
        <v/>
      </c>
    </row>
    <row r="119" spans="1:17" x14ac:dyDescent="0.25">
      <c r="A119" s="49"/>
      <c r="B119" s="38">
        <v>46187</v>
      </c>
      <c r="C119" s="38" t="s">
        <v>12</v>
      </c>
      <c r="D119" t="str">
        <f>_xlfn.XLOOKUP(B119,'Holidays 2026'!$A$2:$A$27,'Holidays 2026'!$G$2:$G$27,"Regular",0,1)</f>
        <v>Regular</v>
      </c>
      <c r="E119" t="s">
        <v>82</v>
      </c>
      <c r="F119" t="str">
        <f t="shared" si="6"/>
        <v>Yes</v>
      </c>
      <c r="G119" cm="1">
        <f t="array" ref="G119">_xlfn.IFS(OR(E119="Worked",E119="Approved Sick Leave",E119="Approved Vacation Leave",E119="Holiday"),8,E119="","",OR(E119="Absent",E119="Rest Day",E119="Sick Leave Without Pay",E119="Vacation Leave Without Pay"),0)</f>
        <v>0</v>
      </c>
      <c r="H119">
        <v>0</v>
      </c>
      <c r="I119">
        <v>0</v>
      </c>
      <c r="J119">
        <v>0</v>
      </c>
      <c r="K119" s="40">
        <f t="shared" si="7"/>
        <v>0</v>
      </c>
      <c r="M119" cm="1">
        <f t="array" ref="M119">_xlfn.IFS(
OR(E119="Absent",
   E119="Sick Leave Without Pay",
   E119="Vacation Leave Without Pay",
   E119="Rest Day"), 0,
OR(E119="Approved Sick Leave",
   E119="Approved Vacation Leave"), 1,
D119="Regular Non-Working Holiday",
    IF(E119="Worked",
        IF(F119="Yes",2.6,2),
        1),
D119="Regular Working Holiday",
    IF(E119="Worked",
        IF(F119="Yes",2.6,2),
        1),
D119="Special Non-Working Holiday",
    IF(E119="Worked",
        IF(F119="Yes",1.5,1.3),
        0),
D119="Special Working Holiday",
    1,
D119="Regular",
    IF(F119="Yes",
        IF(E119="Worked",1.3,0),
        IF(E119="Worked",1,0)
    )
)</f>
        <v>0</v>
      </c>
      <c r="N119" cm="1">
        <f t="array" ref="N119">_xlfn.IFS(
F119="No",
    _xlfn.IFS(
        D119="Regular", 1.25,
        OR(D119="Special Working Holiday", D119="Special Non-Working Holiday"), 1.3*1.3,
        OR(D119="Regular Working Holiday", D119="Regular Non-Working Holiday"), 2*1.3
    ),
F119="Yes",
    _xlfn.IFS(
        D119="Regular", 1.3*1.3,
        OR(D119="Special Working Holiday", D119="Special Non-Working Holiday"), 1.5*1.3,
        OR(D119="Regular Working Holiday", D119="Regular Non-Working Holiday"), 2.6*1.3
    )
)</f>
        <v>1.6900000000000002</v>
      </c>
      <c r="O119" s="9">
        <f t="shared" si="5"/>
        <v>0</v>
      </c>
      <c r="P119" t="str" cm="1">
        <f t="array" ref="P119">_xlfn.IFS(
  OR(DAY(B119)=5, DAY(B119)=20), "Cut-off", OR(DAY(B119)=6, DAY(B119)=21), "Start",
  OR(
     DAY(B119)=15,
     DAY(B119)=30, AND(MONTH(B119)=2,DAY(B119)=DAY(EOMONTH(B119,0)))
  ), "Payday",
  TRUE, ""
)</f>
        <v/>
      </c>
    </row>
    <row r="120" spans="1:17" x14ac:dyDescent="0.25">
      <c r="A120" s="49"/>
      <c r="B120" s="38">
        <v>46188</v>
      </c>
      <c r="C120" s="38" t="s">
        <v>12</v>
      </c>
      <c r="D120" t="str">
        <f>_xlfn.XLOOKUP(B120,'Holidays 2026'!$A$2:$A$27,'Holidays 2026'!$G$2:$G$27,"Regular",0,1)</f>
        <v>Regular</v>
      </c>
      <c r="E120" t="s">
        <v>71</v>
      </c>
      <c r="F120" t="str">
        <f t="shared" si="6"/>
        <v>No</v>
      </c>
      <c r="G120" cm="1">
        <f t="array" ref="G120">_xlfn.IFS(OR(E120="Worked",E120="Approved Sick Leave",E120="Approved Vacation Leave",E120="Holiday"),8,E120="","",OR(E120="Absent",E120="Rest Day",E120="Sick Leave Without Pay",E120="Vacation Leave Without Pay"),0)</f>
        <v>8</v>
      </c>
      <c r="H120">
        <v>0</v>
      </c>
      <c r="I120">
        <v>0</v>
      </c>
      <c r="J120">
        <v>0</v>
      </c>
      <c r="K120" s="40" t="str">
        <f t="shared" si="7"/>
        <v>7</v>
      </c>
      <c r="M120" cm="1">
        <f t="array" ref="M120">_xlfn.IFS(
OR(E120="Absent",
   E120="Sick Leave Without Pay",
   E120="Vacation Leave Without Pay",
   E120="Rest Day"), 0,
OR(E120="Approved Sick Leave",
   E120="Approved Vacation Leave"), 1,
D120="Regular Non-Working Holiday",
    IF(E120="Worked",
        IF(F120="Yes",2.6,2),
        1),
D120="Regular Working Holiday",
    IF(E120="Worked",
        IF(F120="Yes",2.6,2),
        1),
D120="Special Non-Working Holiday",
    IF(E120="Worked",
        IF(F120="Yes",1.5,1.3),
        0),
D120="Special Working Holiday",
    1,
D120="Regular",
    IF(F120="Yes",
        IF(E120="Worked",1.3,0),
        IF(E120="Worked",1,0)
    )
)</f>
        <v>1</v>
      </c>
      <c r="N120" cm="1">
        <f t="array" ref="N120">_xlfn.IFS(
F120="No",
    _xlfn.IFS(
        D120="Regular", 1.25,
        OR(D120="Special Working Holiday", D120="Special Non-Working Holiday"), 1.3*1.3,
        OR(D120="Regular Working Holiday", D120="Regular Non-Working Holiday"), 2*1.3
    ),
F120="Yes",
    _xlfn.IFS(
        D120="Regular", 1.3*1.3,
        OR(D120="Special Working Holiday", D120="Special Non-Working Holiday"), 1.5*1.3,
        OR(D120="Regular Working Holiday", D120="Regular Non-Working Holiday"), 2.6*1.3
    )
)</f>
        <v>1.25</v>
      </c>
      <c r="O120" s="9">
        <f t="shared" si="5"/>
        <v>800</v>
      </c>
      <c r="P120" t="str" cm="1">
        <f t="array" ref="P120">_xlfn.IFS(
  OR(DAY(B120)=5, DAY(B120)=20), "Cut-off", OR(DAY(B120)=6, DAY(B120)=21), "Start",
  OR(
     DAY(B120)=15,
     DAY(B120)=30, AND(MONTH(B120)=2,DAY(B120)=DAY(EOMONTH(B120,0)))
  ), "Payday",
  TRUE, ""
)</f>
        <v>Payday</v>
      </c>
      <c r="Q120" s="9">
        <f>SUM(O95:O110)</f>
        <v>11071.264367816091</v>
      </c>
    </row>
    <row r="121" spans="1:17" x14ac:dyDescent="0.25">
      <c r="A121" s="49"/>
      <c r="B121" s="38">
        <v>46189</v>
      </c>
      <c r="C121" s="38" t="s">
        <v>12</v>
      </c>
      <c r="D121" t="str">
        <f>_xlfn.XLOOKUP(B121,'Holidays 2026'!$A$2:$A$27,'Holidays 2026'!$G$2:$G$27,"Regular",0,1)</f>
        <v>Regular</v>
      </c>
      <c r="E121" t="s">
        <v>71</v>
      </c>
      <c r="F121" t="str">
        <f t="shared" si="6"/>
        <v>No</v>
      </c>
      <c r="G121" cm="1">
        <f t="array" ref="G121">_xlfn.IFS(OR(E121="Worked",E121="Approved Sick Leave",E121="Approved Vacation Leave",E121="Holiday"),8,E121="","",OR(E121="Absent",E121="Rest Day",E121="Sick Leave Without Pay",E121="Vacation Leave Without Pay"),0)</f>
        <v>8</v>
      </c>
      <c r="H121">
        <v>0</v>
      </c>
      <c r="I121">
        <v>0</v>
      </c>
      <c r="J121">
        <v>0</v>
      </c>
      <c r="K121" s="40" t="str">
        <f t="shared" si="7"/>
        <v>7</v>
      </c>
      <c r="M121" cm="1">
        <f t="array" ref="M121">_xlfn.IFS(
OR(E121="Absent",
   E121="Sick Leave Without Pay",
   E121="Vacation Leave Without Pay",
   E121="Rest Day"), 0,
OR(E121="Approved Sick Leave",
   E121="Approved Vacation Leave"), 1,
D121="Regular Non-Working Holiday",
    IF(E121="Worked",
        IF(F121="Yes",2.6,2),
        1),
D121="Regular Working Holiday",
    IF(E121="Worked",
        IF(F121="Yes",2.6,2),
        1),
D121="Special Non-Working Holiday",
    IF(E121="Worked",
        IF(F121="Yes",1.5,1.3),
        0),
D121="Special Working Holiday",
    1,
D121="Regular",
    IF(F121="Yes",
        IF(E121="Worked",1.3,0),
        IF(E121="Worked",1,0)
    )
)</f>
        <v>1</v>
      </c>
      <c r="N121" cm="1">
        <f t="array" ref="N121">_xlfn.IFS(
F121="No",
    _xlfn.IFS(
        D121="Regular", 1.25,
        OR(D121="Special Working Holiday", D121="Special Non-Working Holiday"), 1.3*1.3,
        OR(D121="Regular Working Holiday", D121="Regular Non-Working Holiday"), 2*1.3
    ),
F121="Yes",
    _xlfn.IFS(
        D121="Regular", 1.3*1.3,
        OR(D121="Special Working Holiday", D121="Special Non-Working Holiday"), 1.5*1.3,
        OR(D121="Regular Working Holiday", D121="Regular Non-Working Holiday"), 2.6*1.3
    )
)</f>
        <v>1.25</v>
      </c>
      <c r="O121" s="9">
        <f t="shared" si="5"/>
        <v>800</v>
      </c>
      <c r="P121" t="str" cm="1">
        <f t="array" ref="P121">_xlfn.IFS(
  OR(DAY(B121)=5, DAY(B121)=20), "Cut-off", OR(DAY(B121)=6, DAY(B121)=21), "Start",
  OR(
     DAY(B121)=15,
     DAY(B121)=30, AND(MONTH(B121)=2,DAY(B121)=DAY(EOMONTH(B121,0)))
  ), "Payday",
  TRUE, ""
)</f>
        <v/>
      </c>
    </row>
    <row r="122" spans="1:17" x14ac:dyDescent="0.25">
      <c r="A122" s="49"/>
      <c r="B122" s="38">
        <v>46190</v>
      </c>
      <c r="C122" s="38" t="s">
        <v>12</v>
      </c>
      <c r="D122" t="str">
        <f>_xlfn.XLOOKUP(B122,'Holidays 2026'!$A$2:$A$27,'Holidays 2026'!$G$2:$G$27,"Regular",0,1)</f>
        <v>Regular</v>
      </c>
      <c r="E122" t="s">
        <v>71</v>
      </c>
      <c r="F122" t="str">
        <f t="shared" si="6"/>
        <v>No</v>
      </c>
      <c r="G122" cm="1">
        <f t="array" ref="G122">_xlfn.IFS(OR(E122="Worked",E122="Approved Sick Leave",E122="Approved Vacation Leave",E122="Holiday"),8,E122="","",OR(E122="Absent",E122="Rest Day",E122="Sick Leave Without Pay",E122="Vacation Leave Without Pay"),0)</f>
        <v>8</v>
      </c>
      <c r="H122">
        <v>0</v>
      </c>
      <c r="I122">
        <v>0</v>
      </c>
      <c r="J122">
        <v>0</v>
      </c>
      <c r="K122" s="40" t="str">
        <f t="shared" si="7"/>
        <v>7</v>
      </c>
      <c r="M122" cm="1">
        <f t="array" ref="M122">_xlfn.IFS(
OR(E122="Absent",
   E122="Sick Leave Without Pay",
   E122="Vacation Leave Without Pay",
   E122="Rest Day"), 0,
OR(E122="Approved Sick Leave",
   E122="Approved Vacation Leave"), 1,
D122="Regular Non-Working Holiday",
    IF(E122="Worked",
        IF(F122="Yes",2.6,2),
        1),
D122="Regular Working Holiday",
    IF(E122="Worked",
        IF(F122="Yes",2.6,2),
        1),
D122="Special Non-Working Holiday",
    IF(E122="Worked",
        IF(F122="Yes",1.5,1.3),
        0),
D122="Special Working Holiday",
    1,
D122="Regular",
    IF(F122="Yes",
        IF(E122="Worked",1.3,0),
        IF(E122="Worked",1,0)
    )
)</f>
        <v>1</v>
      </c>
      <c r="N122" cm="1">
        <f t="array" ref="N122">_xlfn.IFS(
F122="No",
    _xlfn.IFS(
        D122="Regular", 1.25,
        OR(D122="Special Working Holiday", D122="Special Non-Working Holiday"), 1.3*1.3,
        OR(D122="Regular Working Holiday", D122="Regular Non-Working Holiday"), 2*1.3
    ),
F122="Yes",
    _xlfn.IFS(
        D122="Regular", 1.3*1.3,
        OR(D122="Special Working Holiday", D122="Special Non-Working Holiday"), 1.5*1.3,
        OR(D122="Regular Working Holiday", D122="Regular Non-Working Holiday"), 2.6*1.3
    )
)</f>
        <v>1.25</v>
      </c>
      <c r="O122" s="9">
        <f t="shared" si="5"/>
        <v>800</v>
      </c>
      <c r="P122" t="str" cm="1">
        <f t="array" ref="P122">_xlfn.IFS(
  OR(DAY(B122)=5, DAY(B122)=20), "Cut-off", OR(DAY(B122)=6, DAY(B122)=21), "Start",
  OR(
     DAY(B122)=15,
     DAY(B122)=30, AND(MONTH(B122)=2,DAY(B122)=DAY(EOMONTH(B122,0)))
  ), "Payday",
  TRUE, ""
)</f>
        <v/>
      </c>
    </row>
    <row r="123" spans="1:17" x14ac:dyDescent="0.25">
      <c r="A123" s="49"/>
      <c r="B123" s="38">
        <v>46191</v>
      </c>
      <c r="C123" s="38" t="s">
        <v>12</v>
      </c>
      <c r="D123" t="str">
        <f>_xlfn.XLOOKUP(B123,'Holidays 2026'!$A$2:$A$27,'Holidays 2026'!$G$2:$G$27,"Regular",0,1)</f>
        <v>Regular</v>
      </c>
      <c r="E123" t="s">
        <v>71</v>
      </c>
      <c r="F123" t="str">
        <f t="shared" si="6"/>
        <v>No</v>
      </c>
      <c r="G123" cm="1">
        <f t="array" ref="G123">_xlfn.IFS(OR(E123="Worked",E123="Approved Sick Leave",E123="Approved Vacation Leave",E123="Holiday"),8,E123="","",OR(E123="Absent",E123="Rest Day",E123="Sick Leave Without Pay",E123="Vacation Leave Without Pay"),0)</f>
        <v>8</v>
      </c>
      <c r="H123">
        <v>0</v>
      </c>
      <c r="I123">
        <v>0</v>
      </c>
      <c r="J123">
        <v>0</v>
      </c>
      <c r="K123" s="40" t="str">
        <f t="shared" si="7"/>
        <v>7</v>
      </c>
      <c r="M123" cm="1">
        <f t="array" ref="M123">_xlfn.IFS(
OR(E123="Absent",
   E123="Sick Leave Without Pay",
   E123="Vacation Leave Without Pay",
   E123="Rest Day"), 0,
OR(E123="Approved Sick Leave",
   E123="Approved Vacation Leave"), 1,
D123="Regular Non-Working Holiday",
    IF(E123="Worked",
        IF(F123="Yes",2.6,2),
        1),
D123="Regular Working Holiday",
    IF(E123="Worked",
        IF(F123="Yes",2.6,2),
        1),
D123="Special Non-Working Holiday",
    IF(E123="Worked",
        IF(F123="Yes",1.5,1.3),
        0),
D123="Special Working Holiday",
    1,
D123="Regular",
    IF(F123="Yes",
        IF(E123="Worked",1.3,0),
        IF(E123="Worked",1,0)
    )
)</f>
        <v>1</v>
      </c>
      <c r="N123" cm="1">
        <f t="array" ref="N123">_xlfn.IFS(
F123="No",
    _xlfn.IFS(
        D123="Regular", 1.25,
        OR(D123="Special Working Holiday", D123="Special Non-Working Holiday"), 1.3*1.3,
        OR(D123="Regular Working Holiday", D123="Regular Non-Working Holiday"), 2*1.3
    ),
F123="Yes",
    _xlfn.IFS(
        D123="Regular", 1.3*1.3,
        OR(D123="Special Working Holiday", D123="Special Non-Working Holiday"), 1.5*1.3,
        OR(D123="Regular Working Holiday", D123="Regular Non-Working Holiday"), 2.6*1.3
    )
)</f>
        <v>1.25</v>
      </c>
      <c r="O123" s="9">
        <f t="shared" si="5"/>
        <v>800</v>
      </c>
      <c r="P123" t="str" cm="1">
        <f t="array" ref="P123">_xlfn.IFS(
  OR(DAY(B123)=5, DAY(B123)=20), "Cut-off", OR(DAY(B123)=6, DAY(B123)=21), "Start",
  OR(
     DAY(B123)=15,
     DAY(B123)=30, AND(MONTH(B123)=2,DAY(B123)=DAY(EOMONTH(B123,0)))
  ), "Payday",
  TRUE, ""
)</f>
        <v/>
      </c>
    </row>
    <row r="124" spans="1:17" x14ac:dyDescent="0.25">
      <c r="A124" s="49"/>
      <c r="B124" s="38">
        <v>46192</v>
      </c>
      <c r="C124" s="38" t="s">
        <v>12</v>
      </c>
      <c r="D124" t="str">
        <f>_xlfn.XLOOKUP(B124,'Holidays 2026'!$A$2:$A$27,'Holidays 2026'!$G$2:$G$27,"Regular",0,1)</f>
        <v>Regular Non-Working Holiday</v>
      </c>
      <c r="E124" t="s">
        <v>93</v>
      </c>
      <c r="F124" t="str">
        <f t="shared" si="6"/>
        <v>No</v>
      </c>
      <c r="G124" cm="1">
        <f t="array" ref="G124">_xlfn.IFS(OR(E124="Worked",E124="Approved Sick Leave",E124="Approved Vacation Leave",E124="Holiday"),8,E124="","",OR(E124="Absent",E124="Rest Day",E124="Sick Leave Without Pay",E124="Vacation Leave Without Pay"),0)</f>
        <v>8</v>
      </c>
      <c r="H124">
        <v>0</v>
      </c>
      <c r="I124">
        <v>0</v>
      </c>
      <c r="J124">
        <v>0</v>
      </c>
      <c r="K124" s="40" t="str">
        <f t="shared" si="7"/>
        <v>7</v>
      </c>
      <c r="M124" cm="1">
        <f t="array" ref="M124">_xlfn.IFS(
OR(E124="Absent",
   E124="Sick Leave Without Pay",
   E124="Vacation Leave Without Pay",
   E124="Rest Day"), 0,
OR(E124="Approved Sick Leave",
   E124="Approved Vacation Leave"), 1,
D124="Regular Non-Working Holiday",
    IF(E124="Worked",
        IF(F124="Yes",2.6,2),
        1),
D124="Regular Working Holiday",
    IF(E124="Worked",
        IF(F124="Yes",2.6,2),
        1),
D124="Special Non-Working Holiday",
    IF(E124="Worked",
        IF(F124="Yes",1.5,1.3),
        0),
D124="Special Working Holiday",
    1,
D124="Regular",
    IF(F124="Yes",
        IF(E124="Worked",1.3,0),
        IF(E124="Worked",1,0)
    )
)</f>
        <v>1</v>
      </c>
      <c r="N124" cm="1">
        <f t="array" ref="N124">_xlfn.IFS(
F124="No",
    _xlfn.IFS(
        D124="Regular", 1.25,
        OR(D124="Special Working Holiday", D124="Special Non-Working Holiday"), 1.3*1.3,
        OR(D124="Regular Working Holiday", D124="Regular Non-Working Holiday"), 2*1.3
    ),
F124="Yes",
    _xlfn.IFS(
        D124="Regular", 1.3*1.3,
        OR(D124="Special Working Holiday", D124="Special Non-Working Holiday"), 1.5*1.3,
        OR(D124="Regular Working Holiday", D124="Regular Non-Working Holiday"), 2.6*1.3
    )
)</f>
        <v>2.6</v>
      </c>
      <c r="O124" s="9">
        <f t="shared" si="5"/>
        <v>800</v>
      </c>
      <c r="P124" t="str" cm="1">
        <f t="array" ref="P124">_xlfn.IFS(
  OR(DAY(B124)=5, DAY(B124)=20), "Cut-off", OR(DAY(B124)=6, DAY(B124)=21), "Start",
  OR(
     DAY(B124)=15,
     DAY(B124)=30, AND(MONTH(B124)=2,DAY(B124)=DAY(EOMONTH(B124,0)))
  ), "Payday",
  TRUE, ""
)</f>
        <v/>
      </c>
    </row>
    <row r="125" spans="1:17" x14ac:dyDescent="0.25">
      <c r="A125" s="49"/>
      <c r="B125" s="38">
        <v>46193</v>
      </c>
      <c r="C125" s="38" t="s">
        <v>12</v>
      </c>
      <c r="D125" t="str">
        <f>_xlfn.XLOOKUP(B125,'Holidays 2026'!$A$2:$A$27,'Holidays 2026'!$G$2:$G$27,"Regular",0,1)</f>
        <v>Regular</v>
      </c>
      <c r="E125" t="s">
        <v>82</v>
      </c>
      <c r="F125" t="str">
        <f t="shared" si="6"/>
        <v>Yes</v>
      </c>
      <c r="G125" cm="1">
        <f t="array" ref="G125">_xlfn.IFS(OR(E125="Worked",E125="Approved Sick Leave",E125="Approved Vacation Leave",E125="Holiday"),8,E125="","",OR(E125="Absent",E125="Rest Day",E125="Sick Leave Without Pay",E125="Vacation Leave Without Pay"),0)</f>
        <v>0</v>
      </c>
      <c r="H125">
        <v>0</v>
      </c>
      <c r="I125">
        <v>0</v>
      </c>
      <c r="J125">
        <v>0</v>
      </c>
      <c r="K125" s="40">
        <f t="shared" si="7"/>
        <v>0</v>
      </c>
      <c r="M125" cm="1">
        <f t="array" ref="M125">_xlfn.IFS(
OR(E125="Absent",
   E125="Sick Leave Without Pay",
   E125="Vacation Leave Without Pay",
   E125="Rest Day"), 0,
OR(E125="Approved Sick Leave",
   E125="Approved Vacation Leave"), 1,
D125="Regular Non-Working Holiday",
    IF(E125="Worked",
        IF(F125="Yes",2.6,2),
        1),
D125="Regular Working Holiday",
    IF(E125="Worked",
        IF(F125="Yes",2.6,2),
        1),
D125="Special Non-Working Holiday",
    IF(E125="Worked",
        IF(F125="Yes",1.5,1.3),
        0),
D125="Special Working Holiday",
    1,
D125="Regular",
    IF(F125="Yes",
        IF(E125="Worked",1.3,0),
        IF(E125="Worked",1,0)
    )
)</f>
        <v>0</v>
      </c>
      <c r="N125" cm="1">
        <f t="array" ref="N125">_xlfn.IFS(
F125="No",
    _xlfn.IFS(
        D125="Regular", 1.25,
        OR(D125="Special Working Holiday", D125="Special Non-Working Holiday"), 1.3*1.3,
        OR(D125="Regular Working Holiday", D125="Regular Non-Working Holiday"), 2*1.3
    ),
F125="Yes",
    _xlfn.IFS(
        D125="Regular", 1.3*1.3,
        OR(D125="Special Working Holiday", D125="Special Non-Working Holiday"), 1.5*1.3,
        OR(D125="Regular Working Holiday", D125="Regular Non-Working Holiday"), 2.6*1.3
    )
)</f>
        <v>1.6900000000000002</v>
      </c>
      <c r="O125" s="9">
        <f t="shared" si="5"/>
        <v>0</v>
      </c>
      <c r="P125" t="str" cm="1">
        <f t="array" ref="P125">_xlfn.IFS(
  OR(DAY(B125)=5, DAY(B125)=20), "Cut-off", OR(DAY(B125)=6, DAY(B125)=21), "Start",
  OR(
     DAY(B125)=15,
     DAY(B125)=30, AND(MONTH(B125)=2,DAY(B125)=DAY(EOMONTH(B125,0)))
  ), "Payday",
  TRUE, ""
)</f>
        <v>Cut-off</v>
      </c>
    </row>
    <row r="126" spans="1:17" x14ac:dyDescent="0.25">
      <c r="A126" s="49"/>
      <c r="B126" s="38">
        <v>46194</v>
      </c>
      <c r="C126" s="38" t="s">
        <v>12</v>
      </c>
      <c r="D126" t="str">
        <f>_xlfn.XLOOKUP(B126,'Holidays 2026'!$A$2:$A$27,'Holidays 2026'!$G$2:$G$27,"Regular",0,1)</f>
        <v>Regular</v>
      </c>
      <c r="E126" t="s">
        <v>82</v>
      </c>
      <c r="F126" t="str">
        <f t="shared" si="6"/>
        <v>Yes</v>
      </c>
      <c r="G126" cm="1">
        <f t="array" ref="G126">_xlfn.IFS(OR(E126="Worked",E126="Approved Sick Leave",E126="Approved Vacation Leave",E126="Holiday"),8,E126="","",OR(E126="Absent",E126="Rest Day",E126="Sick Leave Without Pay",E126="Vacation Leave Without Pay"),0)</f>
        <v>0</v>
      </c>
      <c r="H126">
        <v>0</v>
      </c>
      <c r="I126">
        <v>0</v>
      </c>
      <c r="J126">
        <v>0</v>
      </c>
      <c r="K126" s="40">
        <f t="shared" si="7"/>
        <v>0</v>
      </c>
      <c r="M126" cm="1">
        <f t="array" ref="M126">_xlfn.IFS(
OR(E126="Absent",
   E126="Sick Leave Without Pay",
   E126="Vacation Leave Without Pay",
   E126="Rest Day"), 0,
OR(E126="Approved Sick Leave",
   E126="Approved Vacation Leave"), 1,
D126="Regular Non-Working Holiday",
    IF(E126="Worked",
        IF(F126="Yes",2.6,2),
        1),
D126="Regular Working Holiday",
    IF(E126="Worked",
        IF(F126="Yes",2.6,2),
        1),
D126="Special Non-Working Holiday",
    IF(E126="Worked",
        IF(F126="Yes",1.5,1.3),
        0),
D126="Special Working Holiday",
    1,
D126="Regular",
    IF(F126="Yes",
        IF(E126="Worked",1.3,0),
        IF(E126="Worked",1,0)
    )
)</f>
        <v>0</v>
      </c>
      <c r="N126" cm="1">
        <f t="array" ref="N126">_xlfn.IFS(
F126="No",
    _xlfn.IFS(
        D126="Regular", 1.25,
        OR(D126="Special Working Holiday", D126="Special Non-Working Holiday"), 1.3*1.3,
        OR(D126="Regular Working Holiday", D126="Regular Non-Working Holiday"), 2*1.3
    ),
F126="Yes",
    _xlfn.IFS(
        D126="Regular", 1.3*1.3,
        OR(D126="Special Working Holiday", D126="Special Non-Working Holiday"), 1.5*1.3,
        OR(D126="Regular Working Holiday", D126="Regular Non-Working Holiday"), 2.6*1.3
    )
)</f>
        <v>1.6900000000000002</v>
      </c>
      <c r="O126" s="9">
        <f t="shared" si="5"/>
        <v>0</v>
      </c>
      <c r="P126" t="str" cm="1">
        <f t="array" ref="P126">_xlfn.IFS(
  OR(DAY(B126)=5, DAY(B126)=20), "Cut-off", OR(DAY(B126)=6, DAY(B126)=21), "Start",
  OR(
     DAY(B126)=15,
     DAY(B126)=30, AND(MONTH(B126)=2,DAY(B126)=DAY(EOMONTH(B126,0)))
  ), "Payday",
  TRUE, ""
)</f>
        <v>Start</v>
      </c>
    </row>
    <row r="127" spans="1:17" x14ac:dyDescent="0.25">
      <c r="A127" s="49"/>
      <c r="B127" s="38">
        <v>46195</v>
      </c>
      <c r="C127" s="38" t="s">
        <v>12</v>
      </c>
      <c r="D127" t="str">
        <f>_xlfn.XLOOKUP(B127,'Holidays 2026'!$A$2:$A$27,'Holidays 2026'!$G$2:$G$27,"Regular",0,1)</f>
        <v>Regular</v>
      </c>
      <c r="E127" t="s">
        <v>71</v>
      </c>
      <c r="F127" t="str">
        <f t="shared" si="6"/>
        <v>No</v>
      </c>
      <c r="G127" cm="1">
        <f t="array" ref="G127">_xlfn.IFS(OR(E127="Worked",E127="Approved Sick Leave",E127="Approved Vacation Leave",E127="Holiday"),8,E127="","",OR(E127="Absent",E127="Rest Day",E127="Sick Leave Without Pay",E127="Vacation Leave Without Pay"),0)</f>
        <v>8</v>
      </c>
      <c r="H127">
        <v>0</v>
      </c>
      <c r="I127">
        <v>0</v>
      </c>
      <c r="J127">
        <v>0</v>
      </c>
      <c r="K127" s="40" t="str">
        <f t="shared" si="7"/>
        <v>7</v>
      </c>
      <c r="M127" cm="1">
        <f t="array" ref="M127">_xlfn.IFS(
OR(E127="Absent",
   E127="Sick Leave Without Pay",
   E127="Vacation Leave Without Pay",
   E127="Rest Day"), 0,
OR(E127="Approved Sick Leave",
   E127="Approved Vacation Leave"), 1,
D127="Regular Non-Working Holiday",
    IF(E127="Worked",
        IF(F127="Yes",2.6,2),
        1),
D127="Regular Working Holiday",
    IF(E127="Worked",
        IF(F127="Yes",2.6,2),
        1),
D127="Special Non-Working Holiday",
    IF(E127="Worked",
        IF(F127="Yes",1.5,1.3),
        0),
D127="Special Working Holiday",
    1,
D127="Regular",
    IF(F127="Yes",
        IF(E127="Worked",1.3,0),
        IF(E127="Worked",1,0)
    )
)</f>
        <v>1</v>
      </c>
      <c r="N127" cm="1">
        <f t="array" ref="N127">_xlfn.IFS(
F127="No",
    _xlfn.IFS(
        D127="Regular", 1.25,
        OR(D127="Special Working Holiday", D127="Special Non-Working Holiday"), 1.3*1.3,
        OR(D127="Regular Working Holiday", D127="Regular Non-Working Holiday"), 2*1.3
    ),
F127="Yes",
    _xlfn.IFS(
        D127="Regular", 1.3*1.3,
        OR(D127="Special Working Holiday", D127="Special Non-Working Holiday"), 1.5*1.3,
        OR(D127="Regular Working Holiday", D127="Regular Non-Working Holiday"), 2.6*1.3
    )
)</f>
        <v>1.25</v>
      </c>
      <c r="O127" s="9">
        <f t="shared" si="5"/>
        <v>800</v>
      </c>
      <c r="P127" t="str" cm="1">
        <f t="array" ref="P127">_xlfn.IFS(
  OR(DAY(B127)=5, DAY(B127)=20), "Cut-off", OR(DAY(B127)=6, DAY(B127)=21), "Start",
  OR(
     DAY(B127)=15,
     DAY(B127)=30, AND(MONTH(B127)=2,DAY(B127)=DAY(EOMONTH(B127,0)))
  ), "Payday",
  TRUE, ""
)</f>
        <v/>
      </c>
    </row>
    <row r="128" spans="1:17" x14ac:dyDescent="0.25">
      <c r="A128" s="49"/>
      <c r="B128" s="38">
        <v>46196</v>
      </c>
      <c r="C128" s="38" t="s">
        <v>12</v>
      </c>
      <c r="D128" t="str">
        <f>_xlfn.XLOOKUP(B128,'Holidays 2026'!$A$2:$A$27,'Holidays 2026'!$G$2:$G$27,"Regular",0,1)</f>
        <v>Regular</v>
      </c>
      <c r="E128" t="s">
        <v>71</v>
      </c>
      <c r="F128" t="str">
        <f t="shared" si="6"/>
        <v>No</v>
      </c>
      <c r="G128" cm="1">
        <f t="array" ref="G128">_xlfn.IFS(OR(E128="Worked",E128="Approved Sick Leave",E128="Approved Vacation Leave",E128="Holiday"),8,E128="","",OR(E128="Absent",E128="Rest Day",E128="Sick Leave Without Pay",E128="Vacation Leave Without Pay"),0)</f>
        <v>8</v>
      </c>
      <c r="H128">
        <v>0</v>
      </c>
      <c r="I128">
        <v>0</v>
      </c>
      <c r="J128">
        <v>0</v>
      </c>
      <c r="K128" s="40" t="str">
        <f t="shared" si="7"/>
        <v>7</v>
      </c>
      <c r="M128" cm="1">
        <f t="array" ref="M128">_xlfn.IFS(
OR(E128="Absent",
   E128="Sick Leave Without Pay",
   E128="Vacation Leave Without Pay",
   E128="Rest Day"), 0,
OR(E128="Approved Sick Leave",
   E128="Approved Vacation Leave"), 1,
D128="Regular Non-Working Holiday",
    IF(E128="Worked",
        IF(F128="Yes",2.6,2),
        1),
D128="Regular Working Holiday",
    IF(E128="Worked",
        IF(F128="Yes",2.6,2),
        1),
D128="Special Non-Working Holiday",
    IF(E128="Worked",
        IF(F128="Yes",1.5,1.3),
        0),
D128="Special Working Holiday",
    1,
D128="Regular",
    IF(F128="Yes",
        IF(E128="Worked",1.3,0),
        IF(E128="Worked",1,0)
    )
)</f>
        <v>1</v>
      </c>
      <c r="N128" cm="1">
        <f t="array" ref="N128">_xlfn.IFS(
F128="No",
    _xlfn.IFS(
        D128="Regular", 1.25,
        OR(D128="Special Working Holiday", D128="Special Non-Working Holiday"), 1.3*1.3,
        OR(D128="Regular Working Holiday", D128="Regular Non-Working Holiday"), 2*1.3
    ),
F128="Yes",
    _xlfn.IFS(
        D128="Regular", 1.3*1.3,
        OR(D128="Special Working Holiday", D128="Special Non-Working Holiday"), 1.5*1.3,
        OR(D128="Regular Working Holiday", D128="Regular Non-Working Holiday"), 2.6*1.3
    )
)</f>
        <v>1.25</v>
      </c>
      <c r="O128" s="9">
        <f t="shared" si="5"/>
        <v>800</v>
      </c>
      <c r="P128" t="str" cm="1">
        <f t="array" ref="P128">_xlfn.IFS(
  OR(DAY(B128)=5, DAY(B128)=20), "Cut-off", OR(DAY(B128)=6, DAY(B128)=21), "Start",
  OR(
     DAY(B128)=15,
     DAY(B128)=30, AND(MONTH(B128)=2,DAY(B128)=DAY(EOMONTH(B128,0)))
  ), "Payday",
  TRUE, ""
)</f>
        <v/>
      </c>
    </row>
    <row r="129" spans="1:16" x14ac:dyDescent="0.25">
      <c r="A129" s="49"/>
      <c r="B129" s="38">
        <v>46197</v>
      </c>
      <c r="C129" s="38" t="s">
        <v>12</v>
      </c>
      <c r="D129" t="str">
        <f>_xlfn.XLOOKUP(B129,'Holidays 2026'!$A$2:$A$27,'Holidays 2026'!$G$2:$G$27,"Regular",0,1)</f>
        <v>Regular</v>
      </c>
      <c r="E129" t="s">
        <v>71</v>
      </c>
      <c r="F129" t="str">
        <f t="shared" si="6"/>
        <v>No</v>
      </c>
      <c r="G129" cm="1">
        <f t="array" ref="G129">_xlfn.IFS(OR(E129="Worked",E129="Approved Sick Leave",E129="Approved Vacation Leave",E129="Holiday"),8,E129="","",OR(E129="Absent",E129="Rest Day",E129="Sick Leave Without Pay",E129="Vacation Leave Without Pay"),0)</f>
        <v>8</v>
      </c>
      <c r="H129">
        <v>0</v>
      </c>
      <c r="I129">
        <v>0</v>
      </c>
      <c r="J129">
        <v>0</v>
      </c>
      <c r="K129" s="40" t="str">
        <f t="shared" si="7"/>
        <v>7</v>
      </c>
      <c r="M129" cm="1">
        <f t="array" ref="M129">_xlfn.IFS(
OR(E129="Absent",
   E129="Sick Leave Without Pay",
   E129="Vacation Leave Without Pay",
   E129="Rest Day"), 0,
OR(E129="Approved Sick Leave",
   E129="Approved Vacation Leave"), 1,
D129="Regular Non-Working Holiday",
    IF(E129="Worked",
        IF(F129="Yes",2.6,2),
        1),
D129="Regular Working Holiday",
    IF(E129="Worked",
        IF(F129="Yes",2.6,2),
        1),
D129="Special Non-Working Holiday",
    IF(E129="Worked",
        IF(F129="Yes",1.5,1.3),
        0),
D129="Special Working Holiday",
    1,
D129="Regular",
    IF(F129="Yes",
        IF(E129="Worked",1.3,0),
        IF(E129="Worked",1,0)
    )
)</f>
        <v>1</v>
      </c>
      <c r="N129" cm="1">
        <f t="array" ref="N129">_xlfn.IFS(
F129="No",
    _xlfn.IFS(
        D129="Regular", 1.25,
        OR(D129="Special Working Holiday", D129="Special Non-Working Holiday"), 1.3*1.3,
        OR(D129="Regular Working Holiday", D129="Regular Non-Working Holiday"), 2*1.3
    ),
F129="Yes",
    _xlfn.IFS(
        D129="Regular", 1.3*1.3,
        OR(D129="Special Working Holiday", D129="Special Non-Working Holiday"), 1.5*1.3,
        OR(D129="Regular Working Holiday", D129="Regular Non-Working Holiday"), 2.6*1.3
    )
)</f>
        <v>1.25</v>
      </c>
      <c r="O129" s="9">
        <f t="shared" si="5"/>
        <v>800</v>
      </c>
      <c r="P129" t="str" cm="1">
        <f t="array" ref="P129">_xlfn.IFS(
  OR(DAY(B129)=5, DAY(B129)=20), "Cut-off", OR(DAY(B129)=6, DAY(B129)=21), "Start",
  OR(
     DAY(B129)=15,
     DAY(B129)=30, AND(MONTH(B129)=2,DAY(B129)=DAY(EOMONTH(B129,0)))
  ), "Payday",
  TRUE, ""
)</f>
        <v/>
      </c>
    </row>
    <row r="130" spans="1:16" x14ac:dyDescent="0.25">
      <c r="A130" s="49"/>
      <c r="B130" s="38">
        <v>46198</v>
      </c>
      <c r="C130" s="38" t="s">
        <v>12</v>
      </c>
      <c r="D130" t="str">
        <f>_xlfn.XLOOKUP(B130,'Holidays 2026'!$A$2:$A$27,'Holidays 2026'!$G$2:$G$27,"Regular",0,1)</f>
        <v>Regular</v>
      </c>
      <c r="E130" t="s">
        <v>71</v>
      </c>
      <c r="F130" t="str">
        <f t="shared" si="6"/>
        <v>No</v>
      </c>
      <c r="G130" cm="1">
        <f t="array" ref="G130">_xlfn.IFS(OR(E130="Worked",E130="Approved Sick Leave",E130="Approved Vacation Leave",E130="Holiday"),8,E130="","",OR(E130="Absent",E130="Rest Day",E130="Sick Leave Without Pay",E130="Vacation Leave Without Pay"),0)</f>
        <v>8</v>
      </c>
      <c r="H130">
        <v>0</v>
      </c>
      <c r="I130">
        <v>0</v>
      </c>
      <c r="J130">
        <v>0</v>
      </c>
      <c r="K130" s="40" t="str">
        <f t="shared" si="7"/>
        <v>7</v>
      </c>
      <c r="M130" cm="1">
        <f t="array" ref="M130">_xlfn.IFS(
OR(E130="Absent",
   E130="Sick Leave Without Pay",
   E130="Vacation Leave Without Pay",
   E130="Rest Day"), 0,
OR(E130="Approved Sick Leave",
   E130="Approved Vacation Leave"), 1,
D130="Regular Non-Working Holiday",
    IF(E130="Worked",
        IF(F130="Yes",2.6,2),
        1),
D130="Regular Working Holiday",
    IF(E130="Worked",
        IF(F130="Yes",2.6,2),
        1),
D130="Special Non-Working Holiday",
    IF(E130="Worked",
        IF(F130="Yes",1.5,1.3),
        0),
D130="Special Working Holiday",
    1,
D130="Regular",
    IF(F130="Yes",
        IF(E130="Worked",1.3,0),
        IF(E130="Worked",1,0)
    )
)</f>
        <v>1</v>
      </c>
      <c r="N130" cm="1">
        <f t="array" ref="N130">_xlfn.IFS(
F130="No",
    _xlfn.IFS(
        D130="Regular", 1.25,
        OR(D130="Special Working Holiday", D130="Special Non-Working Holiday"), 1.3*1.3,
        OR(D130="Regular Working Holiday", D130="Regular Non-Working Holiday"), 2*1.3
    ),
F130="Yes",
    _xlfn.IFS(
        D130="Regular", 1.3*1.3,
        OR(D130="Special Working Holiday", D130="Special Non-Working Holiday"), 1.5*1.3,
        OR(D130="Regular Working Holiday", D130="Regular Non-Working Holiday"), 2.6*1.3
    )
)</f>
        <v>1.25</v>
      </c>
      <c r="O130" s="9">
        <f t="shared" ref="O130:O193" si="8">IF(E130&lt;&gt;"",(G130*HPE*M130)+(N130*HPE*J130)+(K130*ND),"")</f>
        <v>800</v>
      </c>
      <c r="P130" t="str" cm="1">
        <f t="array" ref="P130">_xlfn.IFS(
  OR(DAY(B130)=5, DAY(B130)=20), "Cut-off", OR(DAY(B130)=6, DAY(B130)=21), "Start",
  OR(
     DAY(B130)=15,
     DAY(B130)=30, AND(MONTH(B130)=2,DAY(B130)=DAY(EOMONTH(B130,0)))
  ), "Payday",
  TRUE, ""
)</f>
        <v/>
      </c>
    </row>
    <row r="131" spans="1:16" x14ac:dyDescent="0.25">
      <c r="A131" s="49"/>
      <c r="B131" s="38">
        <v>46199</v>
      </c>
      <c r="C131" s="38" t="s">
        <v>12</v>
      </c>
      <c r="D131" t="str">
        <f>_xlfn.XLOOKUP(B131,'Holidays 2026'!$A$2:$A$27,'Holidays 2026'!$G$2:$G$27,"Regular",0,1)</f>
        <v>Regular</v>
      </c>
      <c r="E131" t="s">
        <v>71</v>
      </c>
      <c r="F131" t="str">
        <f t="shared" ref="F131:F194" si="9">IF(OR(TEXT(B131,"dddd")="Saturday",TEXT(B131,"dddd")="Sunday"),"Yes","No")</f>
        <v>No</v>
      </c>
      <c r="G131" cm="1">
        <f t="array" ref="G131">_xlfn.IFS(OR(E131="Worked",E131="Approved Sick Leave",E131="Approved Vacation Leave",E131="Holiday"),8,E131="","",OR(E131="Absent",E131="Rest Day",E131="Sick Leave Without Pay",E131="Vacation Leave Without Pay"),0)</f>
        <v>8</v>
      </c>
      <c r="H131">
        <v>0</v>
      </c>
      <c r="I131">
        <v>0</v>
      </c>
      <c r="J131">
        <v>0</v>
      </c>
      <c r="K131" s="40" t="str">
        <f t="shared" ref="K131:K194" si="10">IF(E131="Rest Day",0,"7")</f>
        <v>7</v>
      </c>
      <c r="M131" cm="1">
        <f t="array" ref="M131">_xlfn.IFS(
OR(E131="Absent",
   E131="Sick Leave Without Pay",
   E131="Vacation Leave Without Pay",
   E131="Rest Day"), 0,
OR(E131="Approved Sick Leave",
   E131="Approved Vacation Leave"), 1,
D131="Regular Non-Working Holiday",
    IF(E131="Worked",
        IF(F131="Yes",2.6,2),
        1),
D131="Regular Working Holiday",
    IF(E131="Worked",
        IF(F131="Yes",2.6,2),
        1),
D131="Special Non-Working Holiday",
    IF(E131="Worked",
        IF(F131="Yes",1.5,1.3),
        0),
D131="Special Working Holiday",
    1,
D131="Regular",
    IF(F131="Yes",
        IF(E131="Worked",1.3,0),
        IF(E131="Worked",1,0)
    )
)</f>
        <v>1</v>
      </c>
      <c r="N131" cm="1">
        <f t="array" ref="N131">_xlfn.IFS(
F131="No",
    _xlfn.IFS(
        D131="Regular", 1.25,
        OR(D131="Special Working Holiday", D131="Special Non-Working Holiday"), 1.3*1.3,
        OR(D131="Regular Working Holiday", D131="Regular Non-Working Holiday"), 2*1.3
    ),
F131="Yes",
    _xlfn.IFS(
        D131="Regular", 1.3*1.3,
        OR(D131="Special Working Holiday", D131="Special Non-Working Holiday"), 1.5*1.3,
        OR(D131="Regular Working Holiday", D131="Regular Non-Working Holiday"), 2.6*1.3
    )
)</f>
        <v>1.25</v>
      </c>
      <c r="O131" s="9">
        <f t="shared" si="8"/>
        <v>800</v>
      </c>
      <c r="P131" t="str" cm="1">
        <f t="array" ref="P131">_xlfn.IFS(
  OR(DAY(B131)=5, DAY(B131)=20), "Cut-off", OR(DAY(B131)=6, DAY(B131)=21), "Start",
  OR(
     DAY(B131)=15,
     DAY(B131)=30, AND(MONTH(B131)=2,DAY(B131)=DAY(EOMONTH(B131,0)))
  ), "Payday",
  TRUE, ""
)</f>
        <v/>
      </c>
    </row>
    <row r="132" spans="1:16" x14ac:dyDescent="0.25">
      <c r="A132" s="49"/>
      <c r="B132" s="38">
        <v>46200</v>
      </c>
      <c r="C132" s="38" t="s">
        <v>12</v>
      </c>
      <c r="D132" t="str">
        <f>_xlfn.XLOOKUP(B132,'Holidays 2026'!$A$2:$A$27,'Holidays 2026'!$G$2:$G$27,"Regular",0,1)</f>
        <v>Regular</v>
      </c>
      <c r="E132" t="s">
        <v>82</v>
      </c>
      <c r="F132" t="str">
        <f t="shared" si="9"/>
        <v>Yes</v>
      </c>
      <c r="G132" cm="1">
        <f t="array" ref="G132">_xlfn.IFS(OR(E132="Worked",E132="Approved Sick Leave",E132="Approved Vacation Leave",E132="Holiday"),8,E132="","",OR(E132="Absent",E132="Rest Day",E132="Sick Leave Without Pay",E132="Vacation Leave Without Pay"),0)</f>
        <v>0</v>
      </c>
      <c r="H132">
        <v>0</v>
      </c>
      <c r="I132">
        <v>0</v>
      </c>
      <c r="J132">
        <v>0</v>
      </c>
      <c r="K132" s="40">
        <f t="shared" si="10"/>
        <v>0</v>
      </c>
      <c r="M132" cm="1">
        <f t="array" ref="M132">_xlfn.IFS(
OR(E132="Absent",
   E132="Sick Leave Without Pay",
   E132="Vacation Leave Without Pay",
   E132="Rest Day"), 0,
OR(E132="Approved Sick Leave",
   E132="Approved Vacation Leave"), 1,
D132="Regular Non-Working Holiday",
    IF(E132="Worked",
        IF(F132="Yes",2.6,2),
        1),
D132="Regular Working Holiday",
    IF(E132="Worked",
        IF(F132="Yes",2.6,2),
        1),
D132="Special Non-Working Holiday",
    IF(E132="Worked",
        IF(F132="Yes",1.5,1.3),
        0),
D132="Special Working Holiday",
    1,
D132="Regular",
    IF(F132="Yes",
        IF(E132="Worked",1.3,0),
        IF(E132="Worked",1,0)
    )
)</f>
        <v>0</v>
      </c>
      <c r="N132" cm="1">
        <f t="array" ref="N132">_xlfn.IFS(
F132="No",
    _xlfn.IFS(
        D132="Regular", 1.25,
        OR(D132="Special Working Holiday", D132="Special Non-Working Holiday"), 1.3*1.3,
        OR(D132="Regular Working Holiday", D132="Regular Non-Working Holiday"), 2*1.3
    ),
F132="Yes",
    _xlfn.IFS(
        D132="Regular", 1.3*1.3,
        OR(D132="Special Working Holiday", D132="Special Non-Working Holiday"), 1.5*1.3,
        OR(D132="Regular Working Holiday", D132="Regular Non-Working Holiday"), 2.6*1.3
    )
)</f>
        <v>1.6900000000000002</v>
      </c>
      <c r="O132" s="9">
        <f t="shared" si="8"/>
        <v>0</v>
      </c>
      <c r="P132" t="str" cm="1">
        <f t="array" ref="P132">_xlfn.IFS(
  OR(DAY(B132)=5, DAY(B132)=20), "Cut-off", OR(DAY(B132)=6, DAY(B132)=21), "Start",
  OR(
     DAY(B132)=15,
     DAY(B132)=30, AND(MONTH(B132)=2,DAY(B132)=DAY(EOMONTH(B132,0)))
  ), "Payday",
  TRUE, ""
)</f>
        <v/>
      </c>
    </row>
    <row r="133" spans="1:16" x14ac:dyDescent="0.25">
      <c r="A133" s="49"/>
      <c r="B133" s="38">
        <v>46201</v>
      </c>
      <c r="C133" s="38" t="s">
        <v>12</v>
      </c>
      <c r="D133" t="str">
        <f>_xlfn.XLOOKUP(B133,'Holidays 2026'!$A$2:$A$27,'Holidays 2026'!$G$2:$G$27,"Regular",0,1)</f>
        <v>Regular</v>
      </c>
      <c r="E133" t="s">
        <v>82</v>
      </c>
      <c r="F133" t="str">
        <f t="shared" si="9"/>
        <v>Yes</v>
      </c>
      <c r="G133" cm="1">
        <f t="array" ref="G133">_xlfn.IFS(OR(E133="Worked",E133="Approved Sick Leave",E133="Approved Vacation Leave",E133="Holiday"),8,E133="","",OR(E133="Absent",E133="Rest Day",E133="Sick Leave Without Pay",E133="Vacation Leave Without Pay"),0)</f>
        <v>0</v>
      </c>
      <c r="H133">
        <v>0</v>
      </c>
      <c r="I133">
        <v>0</v>
      </c>
      <c r="J133">
        <v>0</v>
      </c>
      <c r="K133" s="40">
        <f t="shared" si="10"/>
        <v>0</v>
      </c>
      <c r="M133" cm="1">
        <f t="array" ref="M133">_xlfn.IFS(
OR(E133="Absent",
   E133="Sick Leave Without Pay",
   E133="Vacation Leave Without Pay",
   E133="Rest Day"), 0,
OR(E133="Approved Sick Leave",
   E133="Approved Vacation Leave"), 1,
D133="Regular Non-Working Holiday",
    IF(E133="Worked",
        IF(F133="Yes",2.6,2),
        1),
D133="Regular Working Holiday",
    IF(E133="Worked",
        IF(F133="Yes",2.6,2),
        1),
D133="Special Non-Working Holiday",
    IF(E133="Worked",
        IF(F133="Yes",1.5,1.3),
        0),
D133="Special Working Holiday",
    1,
D133="Regular",
    IF(F133="Yes",
        IF(E133="Worked",1.3,0),
        IF(E133="Worked",1,0)
    )
)</f>
        <v>0</v>
      </c>
      <c r="N133" cm="1">
        <f t="array" ref="N133">_xlfn.IFS(
F133="No",
    _xlfn.IFS(
        D133="Regular", 1.25,
        OR(D133="Special Working Holiday", D133="Special Non-Working Holiday"), 1.3*1.3,
        OR(D133="Regular Working Holiday", D133="Regular Non-Working Holiday"), 2*1.3
    ),
F133="Yes",
    _xlfn.IFS(
        D133="Regular", 1.3*1.3,
        OR(D133="Special Working Holiday", D133="Special Non-Working Holiday"), 1.5*1.3,
        OR(D133="Regular Working Holiday", D133="Regular Non-Working Holiday"), 2.6*1.3
    )
)</f>
        <v>1.6900000000000002</v>
      </c>
      <c r="O133" s="9">
        <f t="shared" si="8"/>
        <v>0</v>
      </c>
      <c r="P133" t="str" cm="1">
        <f t="array" ref="P133">_xlfn.IFS(
  OR(DAY(B133)=5, DAY(B133)=20), "Cut-off", OR(DAY(B133)=6, DAY(B133)=21), "Start",
  OR(
     DAY(B133)=15,
     DAY(B133)=30, AND(MONTH(B133)=2,DAY(B133)=DAY(EOMONTH(B133,0)))
  ), "Payday",
  TRUE, ""
)</f>
        <v/>
      </c>
    </row>
    <row r="134" spans="1:16" x14ac:dyDescent="0.25">
      <c r="A134" s="49"/>
      <c r="B134" s="38">
        <v>46202</v>
      </c>
      <c r="C134" s="38" t="s">
        <v>12</v>
      </c>
      <c r="D134" t="str">
        <f>_xlfn.XLOOKUP(B134,'Holidays 2026'!$A$2:$A$27,'Holidays 2026'!$G$2:$G$27,"Regular",0,1)</f>
        <v>Regular</v>
      </c>
      <c r="E134" t="s">
        <v>71</v>
      </c>
      <c r="F134" t="str">
        <f t="shared" si="9"/>
        <v>No</v>
      </c>
      <c r="G134" cm="1">
        <f t="array" ref="G134">_xlfn.IFS(OR(E134="Worked",E134="Approved Sick Leave",E134="Approved Vacation Leave",E134="Holiday"),8,E134="","",OR(E134="Absent",E134="Rest Day",E134="Sick Leave Without Pay",E134="Vacation Leave Without Pay"),0)</f>
        <v>8</v>
      </c>
      <c r="H134">
        <v>0</v>
      </c>
      <c r="I134">
        <v>0</v>
      </c>
      <c r="J134">
        <v>0</v>
      </c>
      <c r="K134" s="40" t="str">
        <f t="shared" si="10"/>
        <v>7</v>
      </c>
      <c r="M134" cm="1">
        <f t="array" ref="M134">_xlfn.IFS(
OR(E134="Absent",
   E134="Sick Leave Without Pay",
   E134="Vacation Leave Without Pay",
   E134="Rest Day"), 0,
OR(E134="Approved Sick Leave",
   E134="Approved Vacation Leave"), 1,
D134="Regular Non-Working Holiday",
    IF(E134="Worked",
        IF(F134="Yes",2.6,2),
        1),
D134="Regular Working Holiday",
    IF(E134="Worked",
        IF(F134="Yes",2.6,2),
        1),
D134="Special Non-Working Holiday",
    IF(E134="Worked",
        IF(F134="Yes",1.5,1.3),
        0),
D134="Special Working Holiday",
    1,
D134="Regular",
    IF(F134="Yes",
        IF(E134="Worked",1.3,0),
        IF(E134="Worked",1,0)
    )
)</f>
        <v>1</v>
      </c>
      <c r="N134" cm="1">
        <f t="array" ref="N134">_xlfn.IFS(
F134="No",
    _xlfn.IFS(
        D134="Regular", 1.25,
        OR(D134="Special Working Holiday", D134="Special Non-Working Holiday"), 1.3*1.3,
        OR(D134="Regular Working Holiday", D134="Regular Non-Working Holiday"), 2*1.3
    ),
F134="Yes",
    _xlfn.IFS(
        D134="Regular", 1.3*1.3,
        OR(D134="Special Working Holiday", D134="Special Non-Working Holiday"), 1.5*1.3,
        OR(D134="Regular Working Holiday", D134="Regular Non-Working Holiday"), 2.6*1.3
    )
)</f>
        <v>1.25</v>
      </c>
      <c r="O134" s="9">
        <f t="shared" si="8"/>
        <v>800</v>
      </c>
      <c r="P134" t="str" cm="1">
        <f t="array" ref="P134">_xlfn.IFS(
  OR(DAY(B134)=5, DAY(B134)=20), "Cut-off", OR(DAY(B134)=6, DAY(B134)=21), "Start",
  OR(
     DAY(B134)=15,
     DAY(B134)=30, AND(MONTH(B134)=2,DAY(B134)=DAY(EOMONTH(B134,0)))
  ), "Payday",
  TRUE, ""
)</f>
        <v/>
      </c>
    </row>
    <row r="135" spans="1:16" x14ac:dyDescent="0.25">
      <c r="A135" s="49"/>
      <c r="B135" s="38">
        <v>46203</v>
      </c>
      <c r="C135" s="38" t="s">
        <v>12</v>
      </c>
      <c r="D135" t="str">
        <f>_xlfn.XLOOKUP(B135,'Holidays 2026'!$A$2:$A$27,'Holidays 2026'!$G$2:$G$27,"Regular",0,1)</f>
        <v>Regular</v>
      </c>
      <c r="E135" t="s">
        <v>71</v>
      </c>
      <c r="F135" t="str">
        <f t="shared" si="9"/>
        <v>No</v>
      </c>
      <c r="G135" cm="1">
        <f t="array" ref="G135">_xlfn.IFS(OR(E135="Worked",E135="Approved Sick Leave",E135="Approved Vacation Leave",E135="Holiday"),8,E135="","",OR(E135="Absent",E135="Rest Day",E135="Sick Leave Without Pay",E135="Vacation Leave Without Pay"),0)</f>
        <v>8</v>
      </c>
      <c r="H135">
        <v>0</v>
      </c>
      <c r="I135">
        <v>0</v>
      </c>
      <c r="J135">
        <v>0</v>
      </c>
      <c r="K135" s="40" t="str">
        <f t="shared" si="10"/>
        <v>7</v>
      </c>
      <c r="M135" cm="1">
        <f t="array" ref="M135">_xlfn.IFS(
OR(E135="Absent",
   E135="Sick Leave Without Pay",
   E135="Vacation Leave Without Pay",
   E135="Rest Day"), 0,
OR(E135="Approved Sick Leave",
   E135="Approved Vacation Leave"), 1,
D135="Regular Non-Working Holiday",
    IF(E135="Worked",
        IF(F135="Yes",2.6,2),
        1),
D135="Regular Working Holiday",
    IF(E135="Worked",
        IF(F135="Yes",2.6,2),
        1),
D135="Special Non-Working Holiday",
    IF(E135="Worked",
        IF(F135="Yes",1.5,1.3),
        0),
D135="Special Working Holiday",
    1,
D135="Regular",
    IF(F135="Yes",
        IF(E135="Worked",1.3,0),
        IF(E135="Worked",1,0)
    )
)</f>
        <v>1</v>
      </c>
      <c r="N135" cm="1">
        <f t="array" ref="N135">_xlfn.IFS(
F135="No",
    _xlfn.IFS(
        D135="Regular", 1.25,
        OR(D135="Special Working Holiday", D135="Special Non-Working Holiday"), 1.3*1.3,
        OR(D135="Regular Working Holiday", D135="Regular Non-Working Holiday"), 2*1.3
    ),
F135="Yes",
    _xlfn.IFS(
        D135="Regular", 1.3*1.3,
        OR(D135="Special Working Holiday", D135="Special Non-Working Holiday"), 1.5*1.3,
        OR(D135="Regular Working Holiday", D135="Regular Non-Working Holiday"), 2.6*1.3
    )
)</f>
        <v>1.25</v>
      </c>
      <c r="O135" s="9">
        <f t="shared" si="8"/>
        <v>800</v>
      </c>
      <c r="P135" t="str" cm="1">
        <f t="array" ref="P135">_xlfn.IFS(
  OR(DAY(B135)=5, DAY(B135)=20), "Cut-off", OR(DAY(B135)=6, DAY(B135)=21), "Start",
  OR(
     DAY(B135)=15,
     DAY(B135)=30, AND(MONTH(B135)=2,DAY(B135)=DAY(EOMONTH(B135,0)))
  ), "Payday",
  TRUE, ""
)</f>
        <v>Payday</v>
      </c>
    </row>
    <row r="136" spans="1:16" x14ac:dyDescent="0.25">
      <c r="A136" s="49" t="s">
        <v>99</v>
      </c>
      <c r="B136" s="38">
        <v>46204</v>
      </c>
      <c r="C136" s="38" t="s">
        <v>13</v>
      </c>
      <c r="D136" t="str">
        <f>_xlfn.XLOOKUP(B136,'Holidays 2026'!$A$2:$A$27,'Holidays 2026'!$G$2:$G$27,"Regular",0,1)</f>
        <v>Regular</v>
      </c>
      <c r="E136" t="s">
        <v>71</v>
      </c>
      <c r="F136" t="str">
        <f t="shared" si="9"/>
        <v>No</v>
      </c>
      <c r="G136" cm="1">
        <f t="array" ref="G136">_xlfn.IFS(OR(E136="Worked",E136="Approved Sick Leave",E136="Approved Vacation Leave",E136="Holiday"),8,E136="","",OR(E136="Absent",E136="Rest Day",E136="Sick Leave Without Pay",E136="Vacation Leave Without Pay"),0)</f>
        <v>8</v>
      </c>
      <c r="H136">
        <v>0</v>
      </c>
      <c r="I136">
        <v>0</v>
      </c>
      <c r="J136">
        <v>0</v>
      </c>
      <c r="K136" s="40" t="str">
        <f t="shared" si="10"/>
        <v>7</v>
      </c>
      <c r="M136" cm="1">
        <f t="array" ref="M136">_xlfn.IFS(
OR(E136="Absent",
   E136="Sick Leave Without Pay",
   E136="Vacation Leave Without Pay",
   E136="Rest Day"), 0,
OR(E136="Approved Sick Leave",
   E136="Approved Vacation Leave"), 1,
D136="Regular Non-Working Holiday",
    IF(E136="Worked",
        IF(F136="Yes",2.6,2),
        1),
D136="Regular Working Holiday",
    IF(E136="Worked",
        IF(F136="Yes",2.6,2),
        1),
D136="Special Non-Working Holiday",
    IF(E136="Worked",
        IF(F136="Yes",1.5,1.3),
        0),
D136="Special Working Holiday",
    1,
D136="Regular",
    IF(F136="Yes",
        IF(E136="Worked",1.3,0),
        IF(E136="Worked",1,0)
    )
)</f>
        <v>1</v>
      </c>
      <c r="N136" cm="1">
        <f t="array" ref="N136">_xlfn.IFS(
F136="No",
    _xlfn.IFS(
        D136="Regular", 1.25,
        OR(D136="Special Working Holiday", D136="Special Non-Working Holiday"), 1.3*1.3,
        OR(D136="Regular Working Holiday", D136="Regular Non-Working Holiday"), 2*1.3
    ),
F136="Yes",
    _xlfn.IFS(
        D136="Regular", 1.3*1.3,
        OR(D136="Special Working Holiday", D136="Special Non-Working Holiday"), 1.5*1.3,
        OR(D136="Regular Working Holiday", D136="Regular Non-Working Holiday"), 2.6*1.3
    )
)</f>
        <v>1.25</v>
      </c>
      <c r="O136" s="9">
        <f t="shared" si="8"/>
        <v>800</v>
      </c>
      <c r="P136" t="str" cm="1">
        <f t="array" ref="P136">_xlfn.IFS(
  OR(DAY(B136)=5, DAY(B136)=20), "Cut-off", OR(DAY(B136)=6, DAY(B136)=21), "Start",
  OR(
     DAY(B136)=15,
     DAY(B136)=30, AND(MONTH(B136)=2,DAY(B136)=DAY(EOMONTH(B136,0)))
  ), "Payday",
  TRUE, ""
)</f>
        <v/>
      </c>
    </row>
    <row r="137" spans="1:16" x14ac:dyDescent="0.25">
      <c r="A137" s="49"/>
      <c r="B137" s="38">
        <v>46205</v>
      </c>
      <c r="C137" s="38" t="s">
        <v>13</v>
      </c>
      <c r="D137" t="str">
        <f>_xlfn.XLOOKUP(B137,'Holidays 2026'!$A$2:$A$27,'Holidays 2026'!$G$2:$G$27,"Regular",0,1)</f>
        <v>Regular</v>
      </c>
      <c r="E137" t="s">
        <v>71</v>
      </c>
      <c r="F137" t="str">
        <f t="shared" si="9"/>
        <v>No</v>
      </c>
      <c r="G137" cm="1">
        <f t="array" ref="G137">_xlfn.IFS(OR(E137="Worked",E137="Approved Sick Leave",E137="Approved Vacation Leave",E137="Holiday"),8,E137="","",OR(E137="Absent",E137="Rest Day",E137="Sick Leave Without Pay",E137="Vacation Leave Without Pay"),0)</f>
        <v>8</v>
      </c>
      <c r="H137">
        <v>0</v>
      </c>
      <c r="I137">
        <v>0</v>
      </c>
      <c r="J137">
        <v>0</v>
      </c>
      <c r="K137" s="40" t="str">
        <f t="shared" si="10"/>
        <v>7</v>
      </c>
      <c r="M137" cm="1">
        <f t="array" ref="M137">_xlfn.IFS(
OR(E137="Absent",
   E137="Sick Leave Without Pay",
   E137="Vacation Leave Without Pay",
   E137="Rest Day"), 0,
OR(E137="Approved Sick Leave",
   E137="Approved Vacation Leave"), 1,
D137="Regular Non-Working Holiday",
    IF(E137="Worked",
        IF(F137="Yes",2.6,2),
        1),
D137="Regular Working Holiday",
    IF(E137="Worked",
        IF(F137="Yes",2.6,2),
        1),
D137="Special Non-Working Holiday",
    IF(E137="Worked",
        IF(F137="Yes",1.5,1.3),
        0),
D137="Special Working Holiday",
    1,
D137="Regular",
    IF(F137="Yes",
        IF(E137="Worked",1.3,0),
        IF(E137="Worked",1,0)
    )
)</f>
        <v>1</v>
      </c>
      <c r="N137" cm="1">
        <f t="array" ref="N137">_xlfn.IFS(
F137="No",
    _xlfn.IFS(
        D137="Regular", 1.25,
        OR(D137="Special Working Holiday", D137="Special Non-Working Holiday"), 1.3*1.3,
        OR(D137="Regular Working Holiday", D137="Regular Non-Working Holiday"), 2*1.3
    ),
F137="Yes",
    _xlfn.IFS(
        D137="Regular", 1.3*1.3,
        OR(D137="Special Working Holiday", D137="Special Non-Working Holiday"), 1.5*1.3,
        OR(D137="Regular Working Holiday", D137="Regular Non-Working Holiday"), 2.6*1.3
    )
)</f>
        <v>1.25</v>
      </c>
      <c r="O137" s="9">
        <f t="shared" si="8"/>
        <v>800</v>
      </c>
      <c r="P137" t="str" cm="1">
        <f t="array" ref="P137">_xlfn.IFS(
  OR(DAY(B137)=5, DAY(B137)=20), "Cut-off", OR(DAY(B137)=6, DAY(B137)=21), "Start",
  OR(
     DAY(B137)=15,
     DAY(B137)=30, AND(MONTH(B137)=2,DAY(B137)=DAY(EOMONTH(B137,0)))
  ), "Payday",
  TRUE, ""
)</f>
        <v/>
      </c>
    </row>
    <row r="138" spans="1:16" x14ac:dyDescent="0.25">
      <c r="A138" s="49"/>
      <c r="B138" s="38">
        <v>46206</v>
      </c>
      <c r="C138" s="38" t="s">
        <v>13</v>
      </c>
      <c r="D138" t="str">
        <f>_xlfn.XLOOKUP(B138,'Holidays 2026'!$A$2:$A$27,'Holidays 2026'!$G$2:$G$27,"Regular",0,1)</f>
        <v>Regular Non-Working Holiday</v>
      </c>
      <c r="E138" t="s">
        <v>93</v>
      </c>
      <c r="F138" t="str">
        <f t="shared" si="9"/>
        <v>No</v>
      </c>
      <c r="G138" cm="1">
        <f t="array" ref="G138">_xlfn.IFS(OR(E138="Worked",E138="Approved Sick Leave",E138="Approved Vacation Leave",E138="Holiday"),8,E138="","",OR(E138="Absent",E138="Rest Day",E138="Sick Leave Without Pay",E138="Vacation Leave Without Pay"),0)</f>
        <v>8</v>
      </c>
      <c r="H138">
        <v>0</v>
      </c>
      <c r="I138">
        <v>0</v>
      </c>
      <c r="J138">
        <v>0</v>
      </c>
      <c r="K138" s="40" t="str">
        <f t="shared" si="10"/>
        <v>7</v>
      </c>
      <c r="M138" cm="1">
        <f t="array" ref="M138">_xlfn.IFS(
OR(E138="Absent",
   E138="Sick Leave Without Pay",
   E138="Vacation Leave Without Pay",
   E138="Rest Day"), 0,
OR(E138="Approved Sick Leave",
   E138="Approved Vacation Leave"), 1,
D138="Regular Non-Working Holiday",
    IF(E138="Worked",
        IF(F138="Yes",2.6,2),
        1),
D138="Regular Working Holiday",
    IF(E138="Worked",
        IF(F138="Yes",2.6,2),
        1),
D138="Special Non-Working Holiday",
    IF(E138="Worked",
        IF(F138="Yes",1.5,1.3),
        0),
D138="Special Working Holiday",
    1,
D138="Regular",
    IF(F138="Yes",
        IF(E138="Worked",1.3,0),
        IF(E138="Worked",1,0)
    )
)</f>
        <v>1</v>
      </c>
      <c r="N138" cm="1">
        <f t="array" ref="N138">_xlfn.IFS(
F138="No",
    _xlfn.IFS(
        D138="Regular", 1.25,
        OR(D138="Special Working Holiday", D138="Special Non-Working Holiday"), 1.3*1.3,
        OR(D138="Regular Working Holiday", D138="Regular Non-Working Holiday"), 2*1.3
    ),
F138="Yes",
    _xlfn.IFS(
        D138="Regular", 1.3*1.3,
        OR(D138="Special Working Holiday", D138="Special Non-Working Holiday"), 1.5*1.3,
        OR(D138="Regular Working Holiday", D138="Regular Non-Working Holiday"), 2.6*1.3
    )
)</f>
        <v>2.6</v>
      </c>
      <c r="O138" s="9">
        <f t="shared" si="8"/>
        <v>800</v>
      </c>
      <c r="P138" t="str" cm="1">
        <f t="array" ref="P138">_xlfn.IFS(
  OR(DAY(B138)=5, DAY(B138)=20), "Cut-off", OR(DAY(B138)=6, DAY(B138)=21), "Start",
  OR(
     DAY(B138)=15,
     DAY(B138)=30, AND(MONTH(B138)=2,DAY(B138)=DAY(EOMONTH(B138,0)))
  ), "Payday",
  TRUE, ""
)</f>
        <v/>
      </c>
    </row>
    <row r="139" spans="1:16" x14ac:dyDescent="0.25">
      <c r="A139" s="49"/>
      <c r="B139" s="38">
        <v>46207</v>
      </c>
      <c r="C139" s="38" t="s">
        <v>13</v>
      </c>
      <c r="D139" t="str">
        <f>_xlfn.XLOOKUP(B139,'Holidays 2026'!$A$2:$A$27,'Holidays 2026'!$G$2:$G$27,"Regular",0,1)</f>
        <v>Regular</v>
      </c>
      <c r="E139" t="s">
        <v>82</v>
      </c>
      <c r="F139" t="str">
        <f t="shared" si="9"/>
        <v>Yes</v>
      </c>
      <c r="G139" cm="1">
        <f t="array" ref="G139">_xlfn.IFS(OR(E139="Worked",E139="Approved Sick Leave",E139="Approved Vacation Leave",E139="Holiday"),8,E139="","",OR(E139="Absent",E139="Rest Day",E139="Sick Leave Without Pay",E139="Vacation Leave Without Pay"),0)</f>
        <v>0</v>
      </c>
      <c r="H139">
        <v>0</v>
      </c>
      <c r="I139">
        <v>0</v>
      </c>
      <c r="J139">
        <v>0</v>
      </c>
      <c r="K139" s="40">
        <f t="shared" si="10"/>
        <v>0</v>
      </c>
      <c r="M139" cm="1">
        <f t="array" ref="M139">_xlfn.IFS(
OR(E139="Absent",
   E139="Sick Leave Without Pay",
   E139="Vacation Leave Without Pay",
   E139="Rest Day"), 0,
OR(E139="Approved Sick Leave",
   E139="Approved Vacation Leave"), 1,
D139="Regular Non-Working Holiday",
    IF(E139="Worked",
        IF(F139="Yes",2.6,2),
        1),
D139="Regular Working Holiday",
    IF(E139="Worked",
        IF(F139="Yes",2.6,2),
        1),
D139="Special Non-Working Holiday",
    IF(E139="Worked",
        IF(F139="Yes",1.5,1.3),
        0),
D139="Special Working Holiday",
    1,
D139="Regular",
    IF(F139="Yes",
        IF(E139="Worked",1.3,0),
        IF(E139="Worked",1,0)
    )
)</f>
        <v>0</v>
      </c>
      <c r="N139" cm="1">
        <f t="array" ref="N139">_xlfn.IFS(
F139="No",
    _xlfn.IFS(
        D139="Regular", 1.25,
        OR(D139="Special Working Holiday", D139="Special Non-Working Holiday"), 1.3*1.3,
        OR(D139="Regular Working Holiday", D139="Regular Non-Working Holiday"), 2*1.3
    ),
F139="Yes",
    _xlfn.IFS(
        D139="Regular", 1.3*1.3,
        OR(D139="Special Working Holiday", D139="Special Non-Working Holiday"), 1.5*1.3,
        OR(D139="Regular Working Holiday", D139="Regular Non-Working Holiday"), 2.6*1.3
    )
)</f>
        <v>1.6900000000000002</v>
      </c>
      <c r="O139" s="9">
        <f t="shared" si="8"/>
        <v>0</v>
      </c>
      <c r="P139" t="str" cm="1">
        <f t="array" ref="P139">_xlfn.IFS(
  OR(DAY(B139)=5, DAY(B139)=20), "Cut-off", OR(DAY(B139)=6, DAY(B139)=21), "Start",
  OR(
     DAY(B139)=15,
     DAY(B139)=30, AND(MONTH(B139)=2,DAY(B139)=DAY(EOMONTH(B139,0)))
  ), "Payday",
  TRUE, ""
)</f>
        <v/>
      </c>
    </row>
    <row r="140" spans="1:16" x14ac:dyDescent="0.25">
      <c r="A140" s="49"/>
      <c r="B140" s="38">
        <v>46208</v>
      </c>
      <c r="C140" s="38" t="s">
        <v>13</v>
      </c>
      <c r="D140" t="str">
        <f>_xlfn.XLOOKUP(B140,'Holidays 2026'!$A$2:$A$27,'Holidays 2026'!$G$2:$G$27,"Regular",0,1)</f>
        <v>Regular</v>
      </c>
      <c r="E140" t="s">
        <v>82</v>
      </c>
      <c r="F140" t="str">
        <f t="shared" si="9"/>
        <v>Yes</v>
      </c>
      <c r="G140" cm="1">
        <f t="array" ref="G140">_xlfn.IFS(OR(E140="Worked",E140="Approved Sick Leave",E140="Approved Vacation Leave",E140="Holiday"),8,E140="","",OR(E140="Absent",E140="Rest Day",E140="Sick Leave Without Pay",E140="Vacation Leave Without Pay"),0)</f>
        <v>0</v>
      </c>
      <c r="H140">
        <v>0</v>
      </c>
      <c r="I140">
        <v>0</v>
      </c>
      <c r="J140">
        <v>0</v>
      </c>
      <c r="K140" s="40">
        <f t="shared" si="10"/>
        <v>0</v>
      </c>
      <c r="M140" cm="1">
        <f t="array" ref="M140">_xlfn.IFS(
OR(E140="Absent",
   E140="Sick Leave Without Pay",
   E140="Vacation Leave Without Pay",
   E140="Rest Day"), 0,
OR(E140="Approved Sick Leave",
   E140="Approved Vacation Leave"), 1,
D140="Regular Non-Working Holiday",
    IF(E140="Worked",
        IF(F140="Yes",2.6,2),
        1),
D140="Regular Working Holiday",
    IF(E140="Worked",
        IF(F140="Yes",2.6,2),
        1),
D140="Special Non-Working Holiday",
    IF(E140="Worked",
        IF(F140="Yes",1.5,1.3),
        0),
D140="Special Working Holiday",
    1,
D140="Regular",
    IF(F140="Yes",
        IF(E140="Worked",1.3,0),
        IF(E140="Worked",1,0)
    )
)</f>
        <v>0</v>
      </c>
      <c r="N140" cm="1">
        <f t="array" ref="N140">_xlfn.IFS(
F140="No",
    _xlfn.IFS(
        D140="Regular", 1.25,
        OR(D140="Special Working Holiday", D140="Special Non-Working Holiday"), 1.3*1.3,
        OR(D140="Regular Working Holiday", D140="Regular Non-Working Holiday"), 2*1.3
    ),
F140="Yes",
    _xlfn.IFS(
        D140="Regular", 1.3*1.3,
        OR(D140="Special Working Holiday", D140="Special Non-Working Holiday"), 1.5*1.3,
        OR(D140="Regular Working Holiday", D140="Regular Non-Working Holiday"), 2.6*1.3
    )
)</f>
        <v>1.6900000000000002</v>
      </c>
      <c r="O140" s="9">
        <f t="shared" si="8"/>
        <v>0</v>
      </c>
      <c r="P140" t="str" cm="1">
        <f t="array" ref="P140">_xlfn.IFS(
  OR(DAY(B140)=5, DAY(B140)=20), "Cut-off", OR(DAY(B140)=6, DAY(B140)=21), "Start",
  OR(
     DAY(B140)=15,
     DAY(B140)=30, AND(MONTH(B140)=2,DAY(B140)=DAY(EOMONTH(B140,0)))
  ), "Payday",
  TRUE, ""
)</f>
        <v>Cut-off</v>
      </c>
    </row>
    <row r="141" spans="1:16" x14ac:dyDescent="0.25">
      <c r="A141" s="49"/>
      <c r="B141" s="38">
        <v>46209</v>
      </c>
      <c r="C141" s="38" t="s">
        <v>13</v>
      </c>
      <c r="D141" t="str">
        <f>_xlfn.XLOOKUP(B141,'Holidays 2026'!$A$2:$A$27,'Holidays 2026'!$G$2:$G$27,"Regular",0,1)</f>
        <v>Regular</v>
      </c>
      <c r="E141" t="s">
        <v>71</v>
      </c>
      <c r="F141" t="str">
        <f t="shared" si="9"/>
        <v>No</v>
      </c>
      <c r="G141" cm="1">
        <f t="array" ref="G141">_xlfn.IFS(OR(E141="Worked",E141="Approved Sick Leave",E141="Approved Vacation Leave",E141="Holiday"),8,E141="","",OR(E141="Absent",E141="Rest Day",E141="Sick Leave Without Pay",E141="Vacation Leave Without Pay"),0)</f>
        <v>8</v>
      </c>
      <c r="H141">
        <v>0</v>
      </c>
      <c r="I141">
        <v>0</v>
      </c>
      <c r="J141">
        <v>0</v>
      </c>
      <c r="K141" s="40" t="str">
        <f t="shared" si="10"/>
        <v>7</v>
      </c>
      <c r="M141" cm="1">
        <f t="array" ref="M141">_xlfn.IFS(
OR(E141="Absent",
   E141="Sick Leave Without Pay",
   E141="Vacation Leave Without Pay",
   E141="Rest Day"), 0,
OR(E141="Approved Sick Leave",
   E141="Approved Vacation Leave"), 1,
D141="Regular Non-Working Holiday",
    IF(E141="Worked",
        IF(F141="Yes",2.6,2),
        1),
D141="Regular Working Holiday",
    IF(E141="Worked",
        IF(F141="Yes",2.6,2),
        1),
D141="Special Non-Working Holiday",
    IF(E141="Worked",
        IF(F141="Yes",1.5,1.3),
        0),
D141="Special Working Holiday",
    1,
D141="Regular",
    IF(F141="Yes",
        IF(E141="Worked",1.3,0),
        IF(E141="Worked",1,0)
    )
)</f>
        <v>1</v>
      </c>
      <c r="N141" cm="1">
        <f t="array" ref="N141">_xlfn.IFS(
F141="No",
    _xlfn.IFS(
        D141="Regular", 1.25,
        OR(D141="Special Working Holiday", D141="Special Non-Working Holiday"), 1.3*1.3,
        OR(D141="Regular Working Holiday", D141="Regular Non-Working Holiday"), 2*1.3
    ),
F141="Yes",
    _xlfn.IFS(
        D141="Regular", 1.3*1.3,
        OR(D141="Special Working Holiday", D141="Special Non-Working Holiday"), 1.5*1.3,
        OR(D141="Regular Working Holiday", D141="Regular Non-Working Holiday"), 2.6*1.3
    )
)</f>
        <v>1.25</v>
      </c>
      <c r="O141" s="9">
        <f t="shared" si="8"/>
        <v>800</v>
      </c>
      <c r="P141" t="str" cm="1">
        <f t="array" ref="P141">_xlfn.IFS(
  OR(DAY(B141)=5, DAY(B141)=20), "Cut-off", OR(DAY(B141)=6, DAY(B141)=21), "Start",
  OR(
     DAY(B141)=15,
     DAY(B141)=30, AND(MONTH(B141)=2,DAY(B141)=DAY(EOMONTH(B141,0)))
  ), "Payday",
  TRUE, ""
)</f>
        <v>Start</v>
      </c>
    </row>
    <row r="142" spans="1:16" x14ac:dyDescent="0.25">
      <c r="A142" s="49"/>
      <c r="B142" s="38">
        <v>46210</v>
      </c>
      <c r="C142" s="38" t="s">
        <v>13</v>
      </c>
      <c r="D142" t="str">
        <f>_xlfn.XLOOKUP(B142,'Holidays 2026'!$A$2:$A$27,'Holidays 2026'!$G$2:$G$27,"Regular",0,1)</f>
        <v>Regular</v>
      </c>
      <c r="E142" t="s">
        <v>71</v>
      </c>
      <c r="F142" t="str">
        <f t="shared" si="9"/>
        <v>No</v>
      </c>
      <c r="G142" cm="1">
        <f t="array" ref="G142">_xlfn.IFS(OR(E142="Worked",E142="Approved Sick Leave",E142="Approved Vacation Leave",E142="Holiday"),8,E142="","",OR(E142="Absent",E142="Rest Day",E142="Sick Leave Without Pay",E142="Vacation Leave Without Pay"),0)</f>
        <v>8</v>
      </c>
      <c r="H142">
        <v>0</v>
      </c>
      <c r="I142">
        <v>0</v>
      </c>
      <c r="J142">
        <v>0</v>
      </c>
      <c r="K142" s="40" t="str">
        <f t="shared" si="10"/>
        <v>7</v>
      </c>
      <c r="M142" cm="1">
        <f t="array" ref="M142">_xlfn.IFS(
OR(E142="Absent",
   E142="Sick Leave Without Pay",
   E142="Vacation Leave Without Pay",
   E142="Rest Day"), 0,
OR(E142="Approved Sick Leave",
   E142="Approved Vacation Leave"), 1,
D142="Regular Non-Working Holiday",
    IF(E142="Worked",
        IF(F142="Yes",2.6,2),
        1),
D142="Regular Working Holiday",
    IF(E142="Worked",
        IF(F142="Yes",2.6,2),
        1),
D142="Special Non-Working Holiday",
    IF(E142="Worked",
        IF(F142="Yes",1.5,1.3),
        0),
D142="Special Working Holiday",
    1,
D142="Regular",
    IF(F142="Yes",
        IF(E142="Worked",1.3,0),
        IF(E142="Worked",1,0)
    )
)</f>
        <v>1</v>
      </c>
      <c r="N142" cm="1">
        <f t="array" ref="N142">_xlfn.IFS(
F142="No",
    _xlfn.IFS(
        D142="Regular", 1.25,
        OR(D142="Special Working Holiday", D142="Special Non-Working Holiday"), 1.3*1.3,
        OR(D142="Regular Working Holiday", D142="Regular Non-Working Holiday"), 2*1.3
    ),
F142="Yes",
    _xlfn.IFS(
        D142="Regular", 1.3*1.3,
        OR(D142="Special Working Holiday", D142="Special Non-Working Holiday"), 1.5*1.3,
        OR(D142="Regular Working Holiday", D142="Regular Non-Working Holiday"), 2.6*1.3
    )
)</f>
        <v>1.25</v>
      </c>
      <c r="O142" s="9">
        <f t="shared" si="8"/>
        <v>800</v>
      </c>
      <c r="P142" t="str" cm="1">
        <f t="array" ref="P142">_xlfn.IFS(
  OR(DAY(B142)=5, DAY(B142)=20), "Cut-off", OR(DAY(B142)=6, DAY(B142)=21), "Start",
  OR(
     DAY(B142)=15,
     DAY(B142)=30, AND(MONTH(B142)=2,DAY(B142)=DAY(EOMONTH(B142,0)))
  ), "Payday",
  TRUE, ""
)</f>
        <v/>
      </c>
    </row>
    <row r="143" spans="1:16" x14ac:dyDescent="0.25">
      <c r="A143" s="49"/>
      <c r="B143" s="38">
        <v>46211</v>
      </c>
      <c r="C143" s="38" t="s">
        <v>13</v>
      </c>
      <c r="D143" t="str">
        <f>_xlfn.XLOOKUP(B143,'Holidays 2026'!$A$2:$A$27,'Holidays 2026'!$G$2:$G$27,"Regular",0,1)</f>
        <v>Regular</v>
      </c>
      <c r="E143" t="s">
        <v>71</v>
      </c>
      <c r="F143" t="str">
        <f t="shared" si="9"/>
        <v>No</v>
      </c>
      <c r="G143" cm="1">
        <f t="array" ref="G143">_xlfn.IFS(OR(E143="Worked",E143="Approved Sick Leave",E143="Approved Vacation Leave",E143="Holiday"),8,E143="","",OR(E143="Absent",E143="Rest Day",E143="Sick Leave Without Pay",E143="Vacation Leave Without Pay"),0)</f>
        <v>8</v>
      </c>
      <c r="H143">
        <v>0</v>
      </c>
      <c r="I143">
        <v>0</v>
      </c>
      <c r="J143">
        <v>0</v>
      </c>
      <c r="K143" s="40" t="str">
        <f t="shared" si="10"/>
        <v>7</v>
      </c>
      <c r="M143" cm="1">
        <f t="array" ref="M143">_xlfn.IFS(
OR(E143="Absent",
   E143="Sick Leave Without Pay",
   E143="Vacation Leave Without Pay",
   E143="Rest Day"), 0,
OR(E143="Approved Sick Leave",
   E143="Approved Vacation Leave"), 1,
D143="Regular Non-Working Holiday",
    IF(E143="Worked",
        IF(F143="Yes",2.6,2),
        1),
D143="Regular Working Holiday",
    IF(E143="Worked",
        IF(F143="Yes",2.6,2),
        1),
D143="Special Non-Working Holiday",
    IF(E143="Worked",
        IF(F143="Yes",1.5,1.3),
        0),
D143="Special Working Holiday",
    1,
D143="Regular",
    IF(F143="Yes",
        IF(E143="Worked",1.3,0),
        IF(E143="Worked",1,0)
    )
)</f>
        <v>1</v>
      </c>
      <c r="N143" cm="1">
        <f t="array" ref="N143">_xlfn.IFS(
F143="No",
    _xlfn.IFS(
        D143="Regular", 1.25,
        OR(D143="Special Working Holiday", D143="Special Non-Working Holiday"), 1.3*1.3,
        OR(D143="Regular Working Holiday", D143="Regular Non-Working Holiday"), 2*1.3
    ),
F143="Yes",
    _xlfn.IFS(
        D143="Regular", 1.3*1.3,
        OR(D143="Special Working Holiday", D143="Special Non-Working Holiday"), 1.5*1.3,
        OR(D143="Regular Working Holiday", D143="Regular Non-Working Holiday"), 2.6*1.3
    )
)</f>
        <v>1.25</v>
      </c>
      <c r="O143" s="9">
        <f t="shared" si="8"/>
        <v>800</v>
      </c>
      <c r="P143" t="str" cm="1">
        <f t="array" ref="P143">_xlfn.IFS(
  OR(DAY(B143)=5, DAY(B143)=20), "Cut-off", OR(DAY(B143)=6, DAY(B143)=21), "Start",
  OR(
     DAY(B143)=15,
     DAY(B143)=30, AND(MONTH(B143)=2,DAY(B143)=DAY(EOMONTH(B143,0)))
  ), "Payday",
  TRUE, ""
)</f>
        <v/>
      </c>
    </row>
    <row r="144" spans="1:16" x14ac:dyDescent="0.25">
      <c r="A144" s="49"/>
      <c r="B144" s="38">
        <v>46212</v>
      </c>
      <c r="C144" s="38" t="s">
        <v>13</v>
      </c>
      <c r="D144" t="str">
        <f>_xlfn.XLOOKUP(B144,'Holidays 2026'!$A$2:$A$27,'Holidays 2026'!$G$2:$G$27,"Regular",0,1)</f>
        <v>Regular</v>
      </c>
      <c r="E144" t="s">
        <v>71</v>
      </c>
      <c r="F144" t="str">
        <f t="shared" si="9"/>
        <v>No</v>
      </c>
      <c r="G144" cm="1">
        <f t="array" ref="G144">_xlfn.IFS(OR(E144="Worked",E144="Approved Sick Leave",E144="Approved Vacation Leave",E144="Holiday"),8,E144="","",OR(E144="Absent",E144="Rest Day",E144="Sick Leave Without Pay",E144="Vacation Leave Without Pay"),0)</f>
        <v>8</v>
      </c>
      <c r="H144">
        <v>0</v>
      </c>
      <c r="I144">
        <v>0</v>
      </c>
      <c r="J144">
        <v>0</v>
      </c>
      <c r="K144" s="40" t="str">
        <f t="shared" si="10"/>
        <v>7</v>
      </c>
      <c r="M144" cm="1">
        <f t="array" ref="M144">_xlfn.IFS(
OR(E144="Absent",
   E144="Sick Leave Without Pay",
   E144="Vacation Leave Without Pay",
   E144="Rest Day"), 0,
OR(E144="Approved Sick Leave",
   E144="Approved Vacation Leave"), 1,
D144="Regular Non-Working Holiday",
    IF(E144="Worked",
        IF(F144="Yes",2.6,2),
        1),
D144="Regular Working Holiday",
    IF(E144="Worked",
        IF(F144="Yes",2.6,2),
        1),
D144="Special Non-Working Holiday",
    IF(E144="Worked",
        IF(F144="Yes",1.5,1.3),
        0),
D144="Special Working Holiday",
    1,
D144="Regular",
    IF(F144="Yes",
        IF(E144="Worked",1.3,0),
        IF(E144="Worked",1,0)
    )
)</f>
        <v>1</v>
      </c>
      <c r="N144" cm="1">
        <f t="array" ref="N144">_xlfn.IFS(
F144="No",
    _xlfn.IFS(
        D144="Regular", 1.25,
        OR(D144="Special Working Holiday", D144="Special Non-Working Holiday"), 1.3*1.3,
        OR(D144="Regular Working Holiday", D144="Regular Non-Working Holiday"), 2*1.3
    ),
F144="Yes",
    _xlfn.IFS(
        D144="Regular", 1.3*1.3,
        OR(D144="Special Working Holiday", D144="Special Non-Working Holiday"), 1.5*1.3,
        OR(D144="Regular Working Holiday", D144="Regular Non-Working Holiday"), 2.6*1.3
    )
)</f>
        <v>1.25</v>
      </c>
      <c r="O144" s="9">
        <f t="shared" si="8"/>
        <v>800</v>
      </c>
      <c r="P144" t="str" cm="1">
        <f t="array" ref="P144">_xlfn.IFS(
  OR(DAY(B144)=5, DAY(B144)=20), "Cut-off", OR(DAY(B144)=6, DAY(B144)=21), "Start",
  OR(
     DAY(B144)=15,
     DAY(B144)=30, AND(MONTH(B144)=2,DAY(B144)=DAY(EOMONTH(B144,0)))
  ), "Payday",
  TRUE, ""
)</f>
        <v/>
      </c>
    </row>
    <row r="145" spans="1:16" x14ac:dyDescent="0.25">
      <c r="A145" s="49"/>
      <c r="B145" s="38">
        <v>46213</v>
      </c>
      <c r="C145" s="38" t="s">
        <v>13</v>
      </c>
      <c r="D145" t="str">
        <f>_xlfn.XLOOKUP(B145,'Holidays 2026'!$A$2:$A$27,'Holidays 2026'!$G$2:$G$27,"Regular",0,1)</f>
        <v>Regular</v>
      </c>
      <c r="E145" t="s">
        <v>71</v>
      </c>
      <c r="F145" t="str">
        <f t="shared" si="9"/>
        <v>No</v>
      </c>
      <c r="G145" cm="1">
        <f t="array" ref="G145">_xlfn.IFS(OR(E145="Worked",E145="Approved Sick Leave",E145="Approved Vacation Leave",E145="Holiday"),8,E145="","",OR(E145="Absent",E145="Rest Day",E145="Sick Leave Without Pay",E145="Vacation Leave Without Pay"),0)</f>
        <v>8</v>
      </c>
      <c r="H145">
        <v>0</v>
      </c>
      <c r="I145">
        <v>0</v>
      </c>
      <c r="J145">
        <v>0</v>
      </c>
      <c r="K145" s="40" t="str">
        <f t="shared" si="10"/>
        <v>7</v>
      </c>
      <c r="M145" cm="1">
        <f t="array" ref="M145">_xlfn.IFS(
OR(E145="Absent",
   E145="Sick Leave Without Pay",
   E145="Vacation Leave Without Pay",
   E145="Rest Day"), 0,
OR(E145="Approved Sick Leave",
   E145="Approved Vacation Leave"), 1,
D145="Regular Non-Working Holiday",
    IF(E145="Worked",
        IF(F145="Yes",2.6,2),
        1),
D145="Regular Working Holiday",
    IF(E145="Worked",
        IF(F145="Yes",2.6,2),
        1),
D145="Special Non-Working Holiday",
    IF(E145="Worked",
        IF(F145="Yes",1.5,1.3),
        0),
D145="Special Working Holiday",
    1,
D145="Regular",
    IF(F145="Yes",
        IF(E145="Worked",1.3,0),
        IF(E145="Worked",1,0)
    )
)</f>
        <v>1</v>
      </c>
      <c r="N145" cm="1">
        <f t="array" ref="N145">_xlfn.IFS(
F145="No",
    _xlfn.IFS(
        D145="Regular", 1.25,
        OR(D145="Special Working Holiday", D145="Special Non-Working Holiday"), 1.3*1.3,
        OR(D145="Regular Working Holiday", D145="Regular Non-Working Holiday"), 2*1.3
    ),
F145="Yes",
    _xlfn.IFS(
        D145="Regular", 1.3*1.3,
        OR(D145="Special Working Holiday", D145="Special Non-Working Holiday"), 1.5*1.3,
        OR(D145="Regular Working Holiday", D145="Regular Non-Working Holiday"), 2.6*1.3
    )
)</f>
        <v>1.25</v>
      </c>
      <c r="O145" s="9">
        <f t="shared" si="8"/>
        <v>800</v>
      </c>
      <c r="P145" t="str" cm="1">
        <f t="array" ref="P145">_xlfn.IFS(
  OR(DAY(B145)=5, DAY(B145)=20), "Cut-off", OR(DAY(B145)=6, DAY(B145)=21), "Start",
  OR(
     DAY(B145)=15,
     DAY(B145)=30, AND(MONTH(B145)=2,DAY(B145)=DAY(EOMONTH(B145,0)))
  ), "Payday",
  TRUE, ""
)</f>
        <v/>
      </c>
    </row>
    <row r="146" spans="1:16" x14ac:dyDescent="0.25">
      <c r="A146" s="49"/>
      <c r="B146" s="38">
        <v>46214</v>
      </c>
      <c r="C146" s="38" t="s">
        <v>13</v>
      </c>
      <c r="D146" t="str">
        <f>_xlfn.XLOOKUP(B146,'Holidays 2026'!$A$2:$A$27,'Holidays 2026'!$G$2:$G$27,"Regular",0,1)</f>
        <v>Regular</v>
      </c>
      <c r="E146" t="s">
        <v>82</v>
      </c>
      <c r="F146" t="str">
        <f t="shared" si="9"/>
        <v>Yes</v>
      </c>
      <c r="G146" cm="1">
        <f t="array" ref="G146">_xlfn.IFS(OR(E146="Worked",E146="Approved Sick Leave",E146="Approved Vacation Leave",E146="Holiday"),8,E146="","",OR(E146="Absent",E146="Rest Day",E146="Sick Leave Without Pay",E146="Vacation Leave Without Pay"),0)</f>
        <v>0</v>
      </c>
      <c r="H146">
        <v>0</v>
      </c>
      <c r="I146">
        <v>0</v>
      </c>
      <c r="J146">
        <v>0</v>
      </c>
      <c r="K146" s="40">
        <f>IF(E146="Rest Day",0,"7")</f>
        <v>0</v>
      </c>
      <c r="M146" cm="1">
        <f t="array" ref="M146">_xlfn.IFS(
OR(E146="Absent",
   E146="Sick Leave Without Pay",
   E146="Vacation Leave Without Pay",
   E146="Rest Day"), 0,
OR(E146="Approved Sick Leave",
   E146="Approved Vacation Leave"), 1,
D146="Regular Non-Working Holiday",
    IF(E146="Worked",
        IF(F146="Yes",2.6,2),
        1),
D146="Regular Working Holiday",
    IF(E146="Worked",
        IF(F146="Yes",2.6,2),
        1),
D146="Special Non-Working Holiday",
    IF(E146="Worked",
        IF(F146="Yes",1.5,1.3),
        0),
D146="Special Working Holiday",
    1,
D146="Regular",
    IF(F146="Yes",
        IF(E146="Worked",1.3,0),
        IF(E146="Worked",1,0)
    )
)</f>
        <v>0</v>
      </c>
      <c r="N146" cm="1">
        <f t="array" ref="N146">_xlfn.IFS(
F146="No",
    _xlfn.IFS(
        D146="Regular", 1.25,
        OR(D146="Special Working Holiday", D146="Special Non-Working Holiday"), 1.3*1.3,
        OR(D146="Regular Working Holiday", D146="Regular Non-Working Holiday"), 2*1.3
    ),
F146="Yes",
    _xlfn.IFS(
        D146="Regular", 1.3*1.3,
        OR(D146="Special Working Holiday", D146="Special Non-Working Holiday"), 1.5*1.3,
        OR(D146="Regular Working Holiday", D146="Regular Non-Working Holiday"), 2.6*1.3
    )
)</f>
        <v>1.6900000000000002</v>
      </c>
      <c r="O146" s="9">
        <f>IF(E146&lt;&gt;"",(G146*HPE*M146)+(N146*HPE*J146)+(K146*ND),"")</f>
        <v>0</v>
      </c>
      <c r="P146" t="str" cm="1">
        <f t="array" ref="P146">_xlfn.IFS(
  OR(DAY(B146)=5, DAY(B146)=20), "Cut-off", OR(DAY(B146)=6, DAY(B146)=21), "Start",
  OR(
     DAY(B146)=15,
     DAY(B146)=30, AND(MONTH(B146)=2,DAY(B146)=DAY(EOMONTH(B146,0)))
  ), "Payday",
  TRUE, ""
)</f>
        <v/>
      </c>
    </row>
    <row r="147" spans="1:16" x14ac:dyDescent="0.25">
      <c r="A147" s="49"/>
      <c r="B147" s="38">
        <v>46215</v>
      </c>
      <c r="C147" s="38" t="s">
        <v>13</v>
      </c>
      <c r="D147" t="str">
        <f>_xlfn.XLOOKUP(B147,'Holidays 2026'!$A$2:$A$27,'Holidays 2026'!$G$2:$G$27,"Regular",0,1)</f>
        <v>Regular</v>
      </c>
      <c r="E147" t="s">
        <v>82</v>
      </c>
      <c r="F147" t="str">
        <f t="shared" si="9"/>
        <v>Yes</v>
      </c>
      <c r="G147" cm="1">
        <f t="array" ref="G147">_xlfn.IFS(OR(E147="Worked",E147="Approved Sick Leave",E147="Approved Vacation Leave",E147="Holiday"),8,E147="","",OR(E147="Absent",E147="Rest Day",E147="Sick Leave Without Pay",E147="Vacation Leave Without Pay"),0)</f>
        <v>0</v>
      </c>
      <c r="H147">
        <v>0</v>
      </c>
      <c r="I147">
        <v>0</v>
      </c>
      <c r="J147">
        <v>0</v>
      </c>
      <c r="K147" s="40">
        <f>IF(E147="Rest Day",0,"7")</f>
        <v>0</v>
      </c>
      <c r="M147" cm="1">
        <f t="array" ref="M147">_xlfn.IFS(
OR(E147="Absent",
   E147="Sick Leave Without Pay",
   E147="Vacation Leave Without Pay",
   E147="Rest Day"), 0,
OR(E147="Approved Sick Leave",
   E147="Approved Vacation Leave"), 1,
D147="Regular Non-Working Holiday",
    IF(E147="Worked",
        IF(F147="Yes",2.6,2),
        1),
D147="Regular Working Holiday",
    IF(E147="Worked",
        IF(F147="Yes",2.6,2),
        1),
D147="Special Non-Working Holiday",
    IF(E147="Worked",
        IF(F147="Yes",1.5,1.3),
        0),
D147="Special Working Holiday",
    1,
D147="Regular",
    IF(F147="Yes",
        IF(E147="Worked",1.3,0),
        IF(E147="Worked",1,0)
    )
)</f>
        <v>0</v>
      </c>
      <c r="N147" cm="1">
        <f t="array" ref="N147">_xlfn.IFS(
F147="No",
    _xlfn.IFS(
        D147="Regular", 1.25,
        OR(D147="Special Working Holiday", D147="Special Non-Working Holiday"), 1.3*1.3,
        OR(D147="Regular Working Holiday", D147="Regular Non-Working Holiday"), 2*1.3
    ),
F147="Yes",
    _xlfn.IFS(
        D147="Regular", 1.3*1.3,
        OR(D147="Special Working Holiday", D147="Special Non-Working Holiday"), 1.5*1.3,
        OR(D147="Regular Working Holiday", D147="Regular Non-Working Holiday"), 2.6*1.3
    )
)</f>
        <v>1.6900000000000002</v>
      </c>
      <c r="O147" s="9">
        <f>IF(E147&lt;&gt;"",(G147*HPE*M147)+(N147*HPE*J147)+(K147*ND),"")</f>
        <v>0</v>
      </c>
      <c r="P147" t="str" cm="1">
        <f t="array" ref="P147">_xlfn.IFS(
  OR(DAY(B147)=5, DAY(B147)=20), "Cut-off", OR(DAY(B147)=6, DAY(B147)=21), "Start",
  OR(
     DAY(B147)=15,
     DAY(B147)=30, AND(MONTH(B147)=2,DAY(B147)=DAY(EOMONTH(B147,0)))
  ), "Payday",
  TRUE, ""
)</f>
        <v/>
      </c>
    </row>
    <row r="148" spans="1:16" x14ac:dyDescent="0.25">
      <c r="A148" s="49"/>
      <c r="B148" s="38">
        <v>46216</v>
      </c>
      <c r="C148" s="38" t="s">
        <v>13</v>
      </c>
      <c r="D148" t="str">
        <f>_xlfn.XLOOKUP(B148,'Holidays 2026'!$A$2:$A$27,'Holidays 2026'!$G$2:$G$27,"Regular",0,1)</f>
        <v>Regular</v>
      </c>
      <c r="E148" t="s">
        <v>71</v>
      </c>
      <c r="F148" t="str">
        <f t="shared" si="9"/>
        <v>No</v>
      </c>
      <c r="G148" cm="1">
        <f t="array" ref="G148">_xlfn.IFS(OR(E148="Worked",E148="Approved Sick Leave",E148="Approved Vacation Leave",E148="Holiday"),8,E148="","",OR(E148="Absent",E148="Rest Day",E148="Sick Leave Without Pay",E148="Vacation Leave Without Pay"),0)</f>
        <v>8</v>
      </c>
      <c r="H148">
        <v>0</v>
      </c>
      <c r="I148">
        <v>0</v>
      </c>
      <c r="J148">
        <v>0</v>
      </c>
      <c r="K148" s="40" t="str">
        <f t="shared" si="10"/>
        <v>7</v>
      </c>
      <c r="M148" cm="1">
        <f t="array" ref="M148">_xlfn.IFS(
OR(E148="Absent",
   E148="Sick Leave Without Pay",
   E148="Vacation Leave Without Pay",
   E148="Rest Day"), 0,
OR(E148="Approved Sick Leave",
   E148="Approved Vacation Leave"), 1,
D148="Regular Non-Working Holiday",
    IF(E148="Worked",
        IF(F148="Yes",2.6,2),
        1),
D148="Regular Working Holiday",
    IF(E148="Worked",
        IF(F148="Yes",2.6,2),
        1),
D148="Special Non-Working Holiday",
    IF(E148="Worked",
        IF(F148="Yes",1.5,1.3),
        0),
D148="Special Working Holiday",
    1,
D148="Regular",
    IF(F148="Yes",
        IF(E148="Worked",1.3,0),
        IF(E148="Worked",1,0)
    )
)</f>
        <v>1</v>
      </c>
      <c r="N148" cm="1">
        <f t="array" ref="N148">_xlfn.IFS(
F148="No",
    _xlfn.IFS(
        D148="Regular", 1.25,
        OR(D148="Special Working Holiday", D148="Special Non-Working Holiday"), 1.3*1.3,
        OR(D148="Regular Working Holiday", D148="Regular Non-Working Holiday"), 2*1.3
    ),
F148="Yes",
    _xlfn.IFS(
        D148="Regular", 1.3*1.3,
        OR(D148="Special Working Holiday", D148="Special Non-Working Holiday"), 1.5*1.3,
        OR(D148="Regular Working Holiday", D148="Regular Non-Working Holiday"), 2.6*1.3
    )
)</f>
        <v>1.25</v>
      </c>
      <c r="O148" s="9">
        <f t="shared" si="8"/>
        <v>800</v>
      </c>
      <c r="P148" t="str" cm="1">
        <f t="array" ref="P148">_xlfn.IFS(
  OR(DAY(B148)=5, DAY(B148)=20), "Cut-off", OR(DAY(B148)=6, DAY(B148)=21), "Start",
  OR(
     DAY(B148)=15,
     DAY(B148)=30, AND(MONTH(B148)=2,DAY(B148)=DAY(EOMONTH(B148,0)))
  ), "Payday",
  TRUE, ""
)</f>
        <v/>
      </c>
    </row>
    <row r="149" spans="1:16" x14ac:dyDescent="0.25">
      <c r="A149" s="49"/>
      <c r="B149" s="38">
        <v>46217</v>
      </c>
      <c r="C149" s="38" t="s">
        <v>13</v>
      </c>
      <c r="D149" t="str">
        <f>_xlfn.XLOOKUP(B149,'Holidays 2026'!$A$2:$A$27,'Holidays 2026'!$G$2:$G$27,"Regular",0,1)</f>
        <v>Regular</v>
      </c>
      <c r="E149" t="s">
        <v>71</v>
      </c>
      <c r="F149" t="str">
        <f t="shared" si="9"/>
        <v>No</v>
      </c>
      <c r="G149" cm="1">
        <f t="array" ref="G149">_xlfn.IFS(OR(E149="Worked",E149="Approved Sick Leave",E149="Approved Vacation Leave",E149="Holiday"),8,E149="","",OR(E149="Absent",E149="Rest Day",E149="Sick Leave Without Pay",E149="Vacation Leave Without Pay"),0)</f>
        <v>8</v>
      </c>
      <c r="H149">
        <v>0</v>
      </c>
      <c r="I149">
        <v>0</v>
      </c>
      <c r="J149">
        <v>0</v>
      </c>
      <c r="K149" s="40" t="str">
        <f t="shared" si="10"/>
        <v>7</v>
      </c>
      <c r="M149" cm="1">
        <f t="array" ref="M149">_xlfn.IFS(
OR(E149="Absent",
   E149="Sick Leave Without Pay",
   E149="Vacation Leave Without Pay",
   E149="Rest Day"), 0,
OR(E149="Approved Sick Leave",
   E149="Approved Vacation Leave"), 1,
D149="Regular Non-Working Holiday",
    IF(E149="Worked",
        IF(F149="Yes",2.6,2),
        1),
D149="Regular Working Holiday",
    IF(E149="Worked",
        IF(F149="Yes",2.6,2),
        1),
D149="Special Non-Working Holiday",
    IF(E149="Worked",
        IF(F149="Yes",1.5,1.3),
        0),
D149="Special Working Holiday",
    1,
D149="Regular",
    IF(F149="Yes",
        IF(E149="Worked",1.3,0),
        IF(E149="Worked",1,0)
    )
)</f>
        <v>1</v>
      </c>
      <c r="N149" cm="1">
        <f t="array" ref="N149">_xlfn.IFS(
F149="No",
    _xlfn.IFS(
        D149="Regular", 1.25,
        OR(D149="Special Working Holiday", D149="Special Non-Working Holiday"), 1.3*1.3,
        OR(D149="Regular Working Holiday", D149="Regular Non-Working Holiday"), 2*1.3
    ),
F149="Yes",
    _xlfn.IFS(
        D149="Regular", 1.3*1.3,
        OR(D149="Special Working Holiday", D149="Special Non-Working Holiday"), 1.5*1.3,
        OR(D149="Regular Working Holiday", D149="Regular Non-Working Holiday"), 2.6*1.3
    )
)</f>
        <v>1.25</v>
      </c>
      <c r="O149" s="9">
        <f t="shared" si="8"/>
        <v>800</v>
      </c>
      <c r="P149" t="str" cm="1">
        <f t="array" ref="P149">_xlfn.IFS(
  OR(DAY(B149)=5, DAY(B149)=20), "Cut-off", OR(DAY(B149)=6, DAY(B149)=21), "Start",
  OR(
     DAY(B149)=15,
     DAY(B149)=30, AND(MONTH(B149)=2,DAY(B149)=DAY(EOMONTH(B149,0)))
  ), "Payday",
  TRUE, ""
)</f>
        <v/>
      </c>
    </row>
    <row r="150" spans="1:16" x14ac:dyDescent="0.25">
      <c r="A150" s="49"/>
      <c r="B150" s="38">
        <v>46218</v>
      </c>
      <c r="C150" s="38" t="s">
        <v>13</v>
      </c>
      <c r="D150" t="str">
        <f>_xlfn.XLOOKUP(B150,'Holidays 2026'!$A$2:$A$27,'Holidays 2026'!$G$2:$G$27,"Regular",0,1)</f>
        <v>Regular</v>
      </c>
      <c r="E150" t="s">
        <v>71</v>
      </c>
      <c r="F150" t="str">
        <f t="shared" si="9"/>
        <v>No</v>
      </c>
      <c r="G150" cm="1">
        <f t="array" ref="G150">_xlfn.IFS(OR(E150="Worked",E150="Approved Sick Leave",E150="Approved Vacation Leave",E150="Holiday"),8,E150="","",OR(E150="Absent",E150="Rest Day",E150="Sick Leave Without Pay",E150="Vacation Leave Without Pay"),0)</f>
        <v>8</v>
      </c>
      <c r="H150">
        <v>0</v>
      </c>
      <c r="I150">
        <v>0</v>
      </c>
      <c r="J150">
        <v>0</v>
      </c>
      <c r="K150" s="40" t="str">
        <f t="shared" si="10"/>
        <v>7</v>
      </c>
      <c r="M150" cm="1">
        <f t="array" ref="M150">_xlfn.IFS(
OR(E150="Absent",
   E150="Sick Leave Without Pay",
   E150="Vacation Leave Without Pay",
   E150="Rest Day"), 0,
OR(E150="Approved Sick Leave",
   E150="Approved Vacation Leave"), 1,
D150="Regular Non-Working Holiday",
    IF(E150="Worked",
        IF(F150="Yes",2.6,2),
        1),
D150="Regular Working Holiday",
    IF(E150="Worked",
        IF(F150="Yes",2.6,2),
        1),
D150="Special Non-Working Holiday",
    IF(E150="Worked",
        IF(F150="Yes",1.5,1.3),
        0),
D150="Special Working Holiday",
    1,
D150="Regular",
    IF(F150="Yes",
        IF(E150="Worked",1.3,0),
        IF(E150="Worked",1,0)
    )
)</f>
        <v>1</v>
      </c>
      <c r="N150" cm="1">
        <f t="array" ref="N150">_xlfn.IFS(
F150="No",
    _xlfn.IFS(
        D150="Regular", 1.25,
        OR(D150="Special Working Holiday", D150="Special Non-Working Holiday"), 1.3*1.3,
        OR(D150="Regular Working Holiday", D150="Regular Non-Working Holiday"), 2*1.3
    ),
F150="Yes",
    _xlfn.IFS(
        D150="Regular", 1.3*1.3,
        OR(D150="Special Working Holiday", D150="Special Non-Working Holiday"), 1.5*1.3,
        OR(D150="Regular Working Holiday", D150="Regular Non-Working Holiday"), 2.6*1.3
    )
)</f>
        <v>1.25</v>
      </c>
      <c r="O150" s="9">
        <f t="shared" si="8"/>
        <v>800</v>
      </c>
      <c r="P150" t="str" cm="1">
        <f t="array" ref="P150">_xlfn.IFS(
  OR(DAY(B150)=5, DAY(B150)=20), "Cut-off", OR(DAY(B150)=6, DAY(B150)=21), "Start",
  OR(
     DAY(B150)=15,
     DAY(B150)=30, AND(MONTH(B150)=2,DAY(B150)=DAY(EOMONTH(B150,0)))
  ), "Payday",
  TRUE, ""
)</f>
        <v>Payday</v>
      </c>
    </row>
    <row r="151" spans="1:16" x14ac:dyDescent="0.25">
      <c r="A151" s="49"/>
      <c r="B151" s="38">
        <v>46219</v>
      </c>
      <c r="C151" s="38" t="s">
        <v>13</v>
      </c>
      <c r="D151" t="str">
        <f>_xlfn.XLOOKUP(B151,'Holidays 2026'!$A$2:$A$27,'Holidays 2026'!$G$2:$G$27,"Regular",0,1)</f>
        <v>Regular</v>
      </c>
      <c r="E151" t="s">
        <v>71</v>
      </c>
      <c r="F151" t="str">
        <f t="shared" si="9"/>
        <v>No</v>
      </c>
      <c r="G151" cm="1">
        <f t="array" ref="G151">_xlfn.IFS(OR(E151="Worked",E151="Approved Sick Leave",E151="Approved Vacation Leave",E151="Holiday"),8,E151="","",OR(E151="Absent",E151="Rest Day",E151="Sick Leave Without Pay",E151="Vacation Leave Without Pay"),0)</f>
        <v>8</v>
      </c>
      <c r="H151">
        <v>0</v>
      </c>
      <c r="I151">
        <v>0</v>
      </c>
      <c r="J151">
        <v>0</v>
      </c>
      <c r="K151" s="40" t="str">
        <f t="shared" si="10"/>
        <v>7</v>
      </c>
      <c r="M151" cm="1">
        <f t="array" ref="M151">_xlfn.IFS(
OR(E151="Absent",
   E151="Sick Leave Without Pay",
   E151="Vacation Leave Without Pay",
   E151="Rest Day"), 0,
OR(E151="Approved Sick Leave",
   E151="Approved Vacation Leave"), 1,
D151="Regular Non-Working Holiday",
    IF(E151="Worked",
        IF(F151="Yes",2.6,2),
        1),
D151="Regular Working Holiday",
    IF(E151="Worked",
        IF(F151="Yes",2.6,2),
        1),
D151="Special Non-Working Holiday",
    IF(E151="Worked",
        IF(F151="Yes",1.5,1.3),
        0),
D151="Special Working Holiday",
    1,
D151="Regular",
    IF(F151="Yes",
        IF(E151="Worked",1.3,0),
        IF(E151="Worked",1,0)
    )
)</f>
        <v>1</v>
      </c>
      <c r="N151" cm="1">
        <f t="array" ref="N151">_xlfn.IFS(
F151="No",
    _xlfn.IFS(
        D151="Regular", 1.25,
        OR(D151="Special Working Holiday", D151="Special Non-Working Holiday"), 1.3*1.3,
        OR(D151="Regular Working Holiday", D151="Regular Non-Working Holiday"), 2*1.3
    ),
F151="Yes",
    _xlfn.IFS(
        D151="Regular", 1.3*1.3,
        OR(D151="Special Working Holiday", D151="Special Non-Working Holiday"), 1.5*1.3,
        OR(D151="Regular Working Holiday", D151="Regular Non-Working Holiday"), 2.6*1.3
    )
)</f>
        <v>1.25</v>
      </c>
      <c r="O151" s="9">
        <f t="shared" si="8"/>
        <v>800</v>
      </c>
      <c r="P151" t="str" cm="1">
        <f t="array" ref="P151">_xlfn.IFS(
  OR(DAY(B151)=5, DAY(B151)=20), "Cut-off", OR(DAY(B151)=6, DAY(B151)=21), "Start",
  OR(
     DAY(B151)=15,
     DAY(B151)=30, AND(MONTH(B151)=2,DAY(B151)=DAY(EOMONTH(B151,0)))
  ), "Payday",
  TRUE, ""
)</f>
        <v/>
      </c>
    </row>
    <row r="152" spans="1:16" x14ac:dyDescent="0.25">
      <c r="A152" s="49"/>
      <c r="B152" s="38">
        <v>46220</v>
      </c>
      <c r="C152" s="38" t="s">
        <v>13</v>
      </c>
      <c r="D152" t="str">
        <f>_xlfn.XLOOKUP(B152,'Holidays 2026'!$A$2:$A$27,'Holidays 2026'!$G$2:$G$27,"Regular",0,1)</f>
        <v>Regular</v>
      </c>
      <c r="E152" t="s">
        <v>71</v>
      </c>
      <c r="F152" t="str">
        <f t="shared" si="9"/>
        <v>No</v>
      </c>
      <c r="G152" cm="1">
        <f t="array" ref="G152">_xlfn.IFS(OR(E152="Worked",E152="Approved Sick Leave",E152="Approved Vacation Leave",E152="Holiday"),8,E152="","",OR(E152="Absent",E152="Rest Day",E152="Sick Leave Without Pay",E152="Vacation Leave Without Pay"),0)</f>
        <v>8</v>
      </c>
      <c r="H152">
        <v>0</v>
      </c>
      <c r="I152">
        <v>0</v>
      </c>
      <c r="J152">
        <v>0</v>
      </c>
      <c r="K152" s="40" t="str">
        <f t="shared" si="10"/>
        <v>7</v>
      </c>
      <c r="M152" cm="1">
        <f t="array" ref="M152">_xlfn.IFS(
OR(E152="Absent",
   E152="Sick Leave Without Pay",
   E152="Vacation Leave Without Pay",
   E152="Rest Day"), 0,
OR(E152="Approved Sick Leave",
   E152="Approved Vacation Leave"), 1,
D152="Regular Non-Working Holiday",
    IF(E152="Worked",
        IF(F152="Yes",2.6,2),
        1),
D152="Regular Working Holiday",
    IF(E152="Worked",
        IF(F152="Yes",2.6,2),
        1),
D152="Special Non-Working Holiday",
    IF(E152="Worked",
        IF(F152="Yes",1.5,1.3),
        0),
D152="Special Working Holiday",
    1,
D152="Regular",
    IF(F152="Yes",
        IF(E152="Worked",1.3,0),
        IF(E152="Worked",1,0)
    )
)</f>
        <v>1</v>
      </c>
      <c r="N152" cm="1">
        <f t="array" ref="N152">_xlfn.IFS(
F152="No",
    _xlfn.IFS(
        D152="Regular", 1.25,
        OR(D152="Special Working Holiday", D152="Special Non-Working Holiday"), 1.3*1.3,
        OR(D152="Regular Working Holiday", D152="Regular Non-Working Holiday"), 2*1.3
    ),
F152="Yes",
    _xlfn.IFS(
        D152="Regular", 1.3*1.3,
        OR(D152="Special Working Holiday", D152="Special Non-Working Holiday"), 1.5*1.3,
        OR(D152="Regular Working Holiday", D152="Regular Non-Working Holiday"), 2.6*1.3
    )
)</f>
        <v>1.25</v>
      </c>
      <c r="O152" s="9">
        <f t="shared" si="8"/>
        <v>800</v>
      </c>
      <c r="P152" t="str" cm="1">
        <f t="array" ref="P152">_xlfn.IFS(
  OR(DAY(B152)=5, DAY(B152)=20), "Cut-off", OR(DAY(B152)=6, DAY(B152)=21), "Start",
  OR(
     DAY(B152)=15,
     DAY(B152)=30, AND(MONTH(B152)=2,DAY(B152)=DAY(EOMONTH(B152,0)))
  ), "Payday",
  TRUE, ""
)</f>
        <v/>
      </c>
    </row>
    <row r="153" spans="1:16" x14ac:dyDescent="0.25">
      <c r="A153" s="49"/>
      <c r="B153" s="38">
        <v>46221</v>
      </c>
      <c r="C153" s="38" t="s">
        <v>13</v>
      </c>
      <c r="D153" t="str">
        <f>_xlfn.XLOOKUP(B153,'Holidays 2026'!$A$2:$A$27,'Holidays 2026'!$G$2:$G$27,"Regular",0,1)</f>
        <v>Regular</v>
      </c>
      <c r="E153" t="s">
        <v>82</v>
      </c>
      <c r="F153" t="str">
        <f t="shared" si="9"/>
        <v>Yes</v>
      </c>
      <c r="G153" cm="1">
        <f t="array" ref="G153">_xlfn.IFS(OR(E153="Worked",E153="Approved Sick Leave",E153="Approved Vacation Leave",E153="Holiday"),8,E153="","",OR(E153="Absent",E153="Rest Day",E153="Sick Leave Without Pay",E153="Vacation Leave Without Pay"),0)</f>
        <v>0</v>
      </c>
      <c r="H153">
        <v>0</v>
      </c>
      <c r="I153">
        <v>0</v>
      </c>
      <c r="J153">
        <v>0</v>
      </c>
      <c r="K153" s="40">
        <f t="shared" si="10"/>
        <v>0</v>
      </c>
      <c r="M153" cm="1">
        <f t="array" ref="M153">_xlfn.IFS(
OR(E153="Absent",
   E153="Sick Leave Without Pay",
   E153="Vacation Leave Without Pay",
   E153="Rest Day"), 0,
OR(E153="Approved Sick Leave",
   E153="Approved Vacation Leave"), 1,
D153="Regular Non-Working Holiday",
    IF(E153="Worked",
        IF(F153="Yes",2.6,2),
        1),
D153="Regular Working Holiday",
    IF(E153="Worked",
        IF(F153="Yes",2.6,2),
        1),
D153="Special Non-Working Holiday",
    IF(E153="Worked",
        IF(F153="Yes",1.5,1.3),
        0),
D153="Special Working Holiday",
    1,
D153="Regular",
    IF(F153="Yes",
        IF(E153="Worked",1.3,0),
        IF(E153="Worked",1,0)
    )
)</f>
        <v>0</v>
      </c>
      <c r="N153" cm="1">
        <f t="array" ref="N153">_xlfn.IFS(
F153="No",
    _xlfn.IFS(
        D153="Regular", 1.25,
        OR(D153="Special Working Holiday", D153="Special Non-Working Holiday"), 1.3*1.3,
        OR(D153="Regular Working Holiday", D153="Regular Non-Working Holiday"), 2*1.3
    ),
F153="Yes",
    _xlfn.IFS(
        D153="Regular", 1.3*1.3,
        OR(D153="Special Working Holiday", D153="Special Non-Working Holiday"), 1.5*1.3,
        OR(D153="Regular Working Holiday", D153="Regular Non-Working Holiday"), 2.6*1.3
    )
)</f>
        <v>1.6900000000000002</v>
      </c>
      <c r="O153" s="9">
        <f t="shared" si="8"/>
        <v>0</v>
      </c>
      <c r="P153" t="str" cm="1">
        <f t="array" ref="P153">_xlfn.IFS(
  OR(DAY(B153)=5, DAY(B153)=20), "Cut-off", OR(DAY(B153)=6, DAY(B153)=21), "Start",
  OR(
     DAY(B153)=15,
     DAY(B153)=30, AND(MONTH(B153)=2,DAY(B153)=DAY(EOMONTH(B153,0)))
  ), "Payday",
  TRUE, ""
)</f>
        <v/>
      </c>
    </row>
    <row r="154" spans="1:16" x14ac:dyDescent="0.25">
      <c r="A154" s="49"/>
      <c r="B154" s="38">
        <v>46222</v>
      </c>
      <c r="C154" s="38" t="s">
        <v>13</v>
      </c>
      <c r="D154" t="str">
        <f>_xlfn.XLOOKUP(B154,'Holidays 2026'!$A$2:$A$27,'Holidays 2026'!$G$2:$G$27,"Regular",0,1)</f>
        <v>Regular</v>
      </c>
      <c r="E154" t="s">
        <v>82</v>
      </c>
      <c r="F154" t="str">
        <f t="shared" si="9"/>
        <v>Yes</v>
      </c>
      <c r="G154" cm="1">
        <f t="array" ref="G154">_xlfn.IFS(OR(E154="Worked",E154="Approved Sick Leave",E154="Approved Vacation Leave",E154="Holiday"),8,E154="","",OR(E154="Absent",E154="Rest Day",E154="Sick Leave Without Pay",E154="Vacation Leave Without Pay"),0)</f>
        <v>0</v>
      </c>
      <c r="H154">
        <v>0</v>
      </c>
      <c r="I154">
        <v>0</v>
      </c>
      <c r="J154">
        <v>0</v>
      </c>
      <c r="K154" s="40">
        <f t="shared" si="10"/>
        <v>0</v>
      </c>
      <c r="M154" cm="1">
        <f t="array" ref="M154">_xlfn.IFS(
OR(E154="Absent",
   E154="Sick Leave Without Pay",
   E154="Vacation Leave Without Pay",
   E154="Rest Day"), 0,
OR(E154="Approved Sick Leave",
   E154="Approved Vacation Leave"), 1,
D154="Regular Non-Working Holiday",
    IF(E154="Worked",
        IF(F154="Yes",2.6,2),
        1),
D154="Regular Working Holiday",
    IF(E154="Worked",
        IF(F154="Yes",2.6,2),
        1),
D154="Special Non-Working Holiday",
    IF(E154="Worked",
        IF(F154="Yes",1.5,1.3),
        0),
D154="Special Working Holiday",
    1,
D154="Regular",
    IF(F154="Yes",
        IF(E154="Worked",1.3,0),
        IF(E154="Worked",1,0)
    )
)</f>
        <v>0</v>
      </c>
      <c r="N154" cm="1">
        <f t="array" ref="N154">_xlfn.IFS(
F154="No",
    _xlfn.IFS(
        D154="Regular", 1.25,
        OR(D154="Special Working Holiday", D154="Special Non-Working Holiday"), 1.3*1.3,
        OR(D154="Regular Working Holiday", D154="Regular Non-Working Holiday"), 2*1.3
    ),
F154="Yes",
    _xlfn.IFS(
        D154="Regular", 1.3*1.3,
        OR(D154="Special Working Holiday", D154="Special Non-Working Holiday"), 1.5*1.3,
        OR(D154="Regular Working Holiday", D154="Regular Non-Working Holiday"), 2.6*1.3
    )
)</f>
        <v>1.6900000000000002</v>
      </c>
      <c r="O154" s="9">
        <f t="shared" si="8"/>
        <v>0</v>
      </c>
      <c r="P154" t="str" cm="1">
        <f t="array" ref="P154">_xlfn.IFS(
  OR(DAY(B154)=5, DAY(B154)=20), "Cut-off", OR(DAY(B154)=6, DAY(B154)=21), "Start",
  OR(
     DAY(B154)=15,
     DAY(B154)=30, AND(MONTH(B154)=2,DAY(B154)=DAY(EOMONTH(B154,0)))
  ), "Payday",
  TRUE, ""
)</f>
        <v/>
      </c>
    </row>
    <row r="155" spans="1:16" x14ac:dyDescent="0.25">
      <c r="A155" s="49"/>
      <c r="B155" s="38">
        <v>46223</v>
      </c>
      <c r="C155" s="38" t="s">
        <v>13</v>
      </c>
      <c r="D155" t="str">
        <f>_xlfn.XLOOKUP(B155,'Holidays 2026'!$A$2:$A$27,'Holidays 2026'!$G$2:$G$27,"Regular",0,1)</f>
        <v>Regular</v>
      </c>
      <c r="E155" t="s">
        <v>71</v>
      </c>
      <c r="F155" t="str">
        <f t="shared" si="9"/>
        <v>No</v>
      </c>
      <c r="G155" cm="1">
        <f t="array" ref="G155">_xlfn.IFS(OR(E155="Worked",E155="Approved Sick Leave",E155="Approved Vacation Leave",E155="Holiday"),8,E155="","",OR(E155="Absent",E155="Rest Day",E155="Sick Leave Without Pay",E155="Vacation Leave Without Pay"),0)</f>
        <v>8</v>
      </c>
      <c r="H155">
        <v>0</v>
      </c>
      <c r="I155">
        <v>0</v>
      </c>
      <c r="J155">
        <v>0</v>
      </c>
      <c r="K155" s="40" t="str">
        <f t="shared" si="10"/>
        <v>7</v>
      </c>
      <c r="M155" cm="1">
        <f t="array" ref="M155">_xlfn.IFS(
OR(E155="Absent",
   E155="Sick Leave Without Pay",
   E155="Vacation Leave Without Pay",
   E155="Rest Day"), 0,
OR(E155="Approved Sick Leave",
   E155="Approved Vacation Leave"), 1,
D155="Regular Non-Working Holiday",
    IF(E155="Worked",
        IF(F155="Yes",2.6,2),
        1),
D155="Regular Working Holiday",
    IF(E155="Worked",
        IF(F155="Yes",2.6,2),
        1),
D155="Special Non-Working Holiday",
    IF(E155="Worked",
        IF(F155="Yes",1.5,1.3),
        0),
D155="Special Working Holiday",
    1,
D155="Regular",
    IF(F155="Yes",
        IF(E155="Worked",1.3,0),
        IF(E155="Worked",1,0)
    )
)</f>
        <v>1</v>
      </c>
      <c r="N155" cm="1">
        <f t="array" ref="N155">_xlfn.IFS(
F155="No",
    _xlfn.IFS(
        D155="Regular", 1.25,
        OR(D155="Special Working Holiday", D155="Special Non-Working Holiday"), 1.3*1.3,
        OR(D155="Regular Working Holiday", D155="Regular Non-Working Holiday"), 2*1.3
    ),
F155="Yes",
    _xlfn.IFS(
        D155="Regular", 1.3*1.3,
        OR(D155="Special Working Holiday", D155="Special Non-Working Holiday"), 1.5*1.3,
        OR(D155="Regular Working Holiday", D155="Regular Non-Working Holiday"), 2.6*1.3
    )
)</f>
        <v>1.25</v>
      </c>
      <c r="O155" s="9">
        <f t="shared" si="8"/>
        <v>800</v>
      </c>
      <c r="P155" t="str" cm="1">
        <f t="array" ref="P155">_xlfn.IFS(
  OR(DAY(B155)=5, DAY(B155)=20), "Cut-off", OR(DAY(B155)=6, DAY(B155)=21), "Start",
  OR(
     DAY(B155)=15,
     DAY(B155)=30, AND(MONTH(B155)=2,DAY(B155)=DAY(EOMONTH(B155,0)))
  ), "Payday",
  TRUE, ""
)</f>
        <v>Cut-off</v>
      </c>
    </row>
    <row r="156" spans="1:16" x14ac:dyDescent="0.25">
      <c r="A156" s="49"/>
      <c r="B156" s="38">
        <v>46224</v>
      </c>
      <c r="C156" s="38" t="s">
        <v>13</v>
      </c>
      <c r="D156" t="str">
        <f>_xlfn.XLOOKUP(B156,'Holidays 2026'!$A$2:$A$27,'Holidays 2026'!$G$2:$G$27,"Regular",0,1)</f>
        <v>Regular</v>
      </c>
      <c r="E156" t="s">
        <v>71</v>
      </c>
      <c r="F156" t="str">
        <f t="shared" si="9"/>
        <v>No</v>
      </c>
      <c r="G156" cm="1">
        <f t="array" ref="G156">_xlfn.IFS(OR(E156="Worked",E156="Approved Sick Leave",E156="Approved Vacation Leave",E156="Holiday"),8,E156="","",OR(E156="Absent",E156="Rest Day",E156="Sick Leave Without Pay",E156="Vacation Leave Without Pay"),0)</f>
        <v>8</v>
      </c>
      <c r="H156">
        <v>0</v>
      </c>
      <c r="I156">
        <v>0</v>
      </c>
      <c r="J156">
        <v>0</v>
      </c>
      <c r="K156" s="40" t="str">
        <f t="shared" si="10"/>
        <v>7</v>
      </c>
      <c r="M156" cm="1">
        <f t="array" ref="M156">_xlfn.IFS(
OR(E156="Absent",
   E156="Sick Leave Without Pay",
   E156="Vacation Leave Without Pay",
   E156="Rest Day"), 0,
OR(E156="Approved Sick Leave",
   E156="Approved Vacation Leave"), 1,
D156="Regular Non-Working Holiday",
    IF(E156="Worked",
        IF(F156="Yes",2.6,2),
        1),
D156="Regular Working Holiday",
    IF(E156="Worked",
        IF(F156="Yes",2.6,2),
        1),
D156="Special Non-Working Holiday",
    IF(E156="Worked",
        IF(F156="Yes",1.5,1.3),
        0),
D156="Special Working Holiday",
    1,
D156="Regular",
    IF(F156="Yes",
        IF(E156="Worked",1.3,0),
        IF(E156="Worked",1,0)
    )
)</f>
        <v>1</v>
      </c>
      <c r="N156" cm="1">
        <f t="array" ref="N156">_xlfn.IFS(
F156="No",
    _xlfn.IFS(
        D156="Regular", 1.25,
        OR(D156="Special Working Holiday", D156="Special Non-Working Holiday"), 1.3*1.3,
        OR(D156="Regular Working Holiday", D156="Regular Non-Working Holiday"), 2*1.3
    ),
F156="Yes",
    _xlfn.IFS(
        D156="Regular", 1.3*1.3,
        OR(D156="Special Working Holiday", D156="Special Non-Working Holiday"), 1.5*1.3,
        OR(D156="Regular Working Holiday", D156="Regular Non-Working Holiday"), 2.6*1.3
    )
)</f>
        <v>1.25</v>
      </c>
      <c r="O156" s="9">
        <f t="shared" si="8"/>
        <v>800</v>
      </c>
      <c r="P156" t="str" cm="1">
        <f t="array" ref="P156">_xlfn.IFS(
  OR(DAY(B156)=5, DAY(B156)=20), "Cut-off", OR(DAY(B156)=6, DAY(B156)=21), "Start",
  OR(
     DAY(B156)=15,
     DAY(B156)=30, AND(MONTH(B156)=2,DAY(B156)=DAY(EOMONTH(B156,0)))
  ), "Payday",
  TRUE, ""
)</f>
        <v>Start</v>
      </c>
    </row>
    <row r="157" spans="1:16" x14ac:dyDescent="0.25">
      <c r="A157" s="49"/>
      <c r="B157" s="38">
        <v>46225</v>
      </c>
      <c r="C157" s="38" t="s">
        <v>13</v>
      </c>
      <c r="D157" t="str">
        <f>_xlfn.XLOOKUP(B157,'Holidays 2026'!$A$2:$A$27,'Holidays 2026'!$G$2:$G$27,"Regular",0,1)</f>
        <v>Regular</v>
      </c>
      <c r="E157" t="s">
        <v>71</v>
      </c>
      <c r="F157" t="str">
        <f t="shared" si="9"/>
        <v>No</v>
      </c>
      <c r="G157" cm="1">
        <f t="array" ref="G157">_xlfn.IFS(OR(E157="Worked",E157="Approved Sick Leave",E157="Approved Vacation Leave",E157="Holiday"),8,E157="","",OR(E157="Absent",E157="Rest Day",E157="Sick Leave Without Pay",E157="Vacation Leave Without Pay"),0)</f>
        <v>8</v>
      </c>
      <c r="H157">
        <v>0</v>
      </c>
      <c r="I157">
        <v>0</v>
      </c>
      <c r="J157">
        <v>0</v>
      </c>
      <c r="K157" s="40" t="str">
        <f t="shared" si="10"/>
        <v>7</v>
      </c>
      <c r="M157" cm="1">
        <f t="array" ref="M157">_xlfn.IFS(
OR(E157="Absent",
   E157="Sick Leave Without Pay",
   E157="Vacation Leave Without Pay",
   E157="Rest Day"), 0,
OR(E157="Approved Sick Leave",
   E157="Approved Vacation Leave"), 1,
D157="Regular Non-Working Holiday",
    IF(E157="Worked",
        IF(F157="Yes",2.6,2),
        1),
D157="Regular Working Holiday",
    IF(E157="Worked",
        IF(F157="Yes",2.6,2),
        1),
D157="Special Non-Working Holiday",
    IF(E157="Worked",
        IF(F157="Yes",1.5,1.3),
        0),
D157="Special Working Holiday",
    1,
D157="Regular",
    IF(F157="Yes",
        IF(E157="Worked",1.3,0),
        IF(E157="Worked",1,0)
    )
)</f>
        <v>1</v>
      </c>
      <c r="N157" cm="1">
        <f t="array" ref="N157">_xlfn.IFS(
F157="No",
    _xlfn.IFS(
        D157="Regular", 1.25,
        OR(D157="Special Working Holiday", D157="Special Non-Working Holiday"), 1.3*1.3,
        OR(D157="Regular Working Holiday", D157="Regular Non-Working Holiday"), 2*1.3
    ),
F157="Yes",
    _xlfn.IFS(
        D157="Regular", 1.3*1.3,
        OR(D157="Special Working Holiday", D157="Special Non-Working Holiday"), 1.5*1.3,
        OR(D157="Regular Working Holiday", D157="Regular Non-Working Holiday"), 2.6*1.3
    )
)</f>
        <v>1.25</v>
      </c>
      <c r="O157" s="9">
        <f t="shared" si="8"/>
        <v>800</v>
      </c>
      <c r="P157" t="str" cm="1">
        <f t="array" ref="P157">_xlfn.IFS(
  OR(DAY(B157)=5, DAY(B157)=20), "Cut-off", OR(DAY(B157)=6, DAY(B157)=21), "Start",
  OR(
     DAY(B157)=15,
     DAY(B157)=30, AND(MONTH(B157)=2,DAY(B157)=DAY(EOMONTH(B157,0)))
  ), "Payday",
  TRUE, ""
)</f>
        <v/>
      </c>
    </row>
    <row r="158" spans="1:16" x14ac:dyDescent="0.25">
      <c r="A158" s="49"/>
      <c r="B158" s="38">
        <v>46226</v>
      </c>
      <c r="C158" s="38" t="s">
        <v>13</v>
      </c>
      <c r="D158" t="str">
        <f>_xlfn.XLOOKUP(B158,'Holidays 2026'!$A$2:$A$27,'Holidays 2026'!$G$2:$G$27,"Regular",0,1)</f>
        <v>Regular</v>
      </c>
      <c r="E158" t="s">
        <v>71</v>
      </c>
      <c r="F158" t="str">
        <f t="shared" si="9"/>
        <v>No</v>
      </c>
      <c r="G158" cm="1">
        <f t="array" ref="G158">_xlfn.IFS(OR(E158="Worked",E158="Approved Sick Leave",E158="Approved Vacation Leave",E158="Holiday"),8,E158="","",OR(E158="Absent",E158="Rest Day",E158="Sick Leave Without Pay",E158="Vacation Leave Without Pay"),0)</f>
        <v>8</v>
      </c>
      <c r="H158">
        <v>0</v>
      </c>
      <c r="I158">
        <v>0</v>
      </c>
      <c r="J158">
        <v>0</v>
      </c>
      <c r="K158" s="40" t="str">
        <f t="shared" si="10"/>
        <v>7</v>
      </c>
      <c r="M158" cm="1">
        <f t="array" ref="M158">_xlfn.IFS(
OR(E158="Absent",
   E158="Sick Leave Without Pay",
   E158="Vacation Leave Without Pay",
   E158="Rest Day"), 0,
OR(E158="Approved Sick Leave",
   E158="Approved Vacation Leave"), 1,
D158="Regular Non-Working Holiday",
    IF(E158="Worked",
        IF(F158="Yes",2.6,2),
        1),
D158="Regular Working Holiday",
    IF(E158="Worked",
        IF(F158="Yes",2.6,2),
        1),
D158="Special Non-Working Holiday",
    IF(E158="Worked",
        IF(F158="Yes",1.5,1.3),
        0),
D158="Special Working Holiday",
    1,
D158="Regular",
    IF(F158="Yes",
        IF(E158="Worked",1.3,0),
        IF(E158="Worked",1,0)
    )
)</f>
        <v>1</v>
      </c>
      <c r="N158" cm="1">
        <f t="array" ref="N158">_xlfn.IFS(
F158="No",
    _xlfn.IFS(
        D158="Regular", 1.25,
        OR(D158="Special Working Holiday", D158="Special Non-Working Holiday"), 1.3*1.3,
        OR(D158="Regular Working Holiday", D158="Regular Non-Working Holiday"), 2*1.3
    ),
F158="Yes",
    _xlfn.IFS(
        D158="Regular", 1.3*1.3,
        OR(D158="Special Working Holiday", D158="Special Non-Working Holiday"), 1.5*1.3,
        OR(D158="Regular Working Holiday", D158="Regular Non-Working Holiday"), 2.6*1.3
    )
)</f>
        <v>1.25</v>
      </c>
      <c r="O158" s="9">
        <f t="shared" si="8"/>
        <v>800</v>
      </c>
      <c r="P158" t="str" cm="1">
        <f t="array" ref="P158">_xlfn.IFS(
  OR(DAY(B158)=5, DAY(B158)=20), "Cut-off", OR(DAY(B158)=6, DAY(B158)=21), "Start",
  OR(
     DAY(B158)=15,
     DAY(B158)=30, AND(MONTH(B158)=2,DAY(B158)=DAY(EOMONTH(B158,0)))
  ), "Payday",
  TRUE, ""
)</f>
        <v/>
      </c>
    </row>
    <row r="159" spans="1:16" x14ac:dyDescent="0.25">
      <c r="A159" s="49"/>
      <c r="B159" s="38">
        <v>46227</v>
      </c>
      <c r="C159" s="38" t="s">
        <v>13</v>
      </c>
      <c r="D159" t="str">
        <f>_xlfn.XLOOKUP(B159,'Holidays 2026'!$A$2:$A$27,'Holidays 2026'!$G$2:$G$27,"Regular",0,1)</f>
        <v>Regular</v>
      </c>
      <c r="F159" t="str">
        <f t="shared" si="9"/>
        <v>No</v>
      </c>
      <c r="G159" t="str" cm="1">
        <f t="array" ref="G159">_xlfn.IFS(OR(E159="Worked",E159="Approved Sick Leave",E159="Approved Vacation Leave",E159="Holiday"),8,E159="","",OR(E159="Absent",E159="Rest Day",E159="Sick Leave Without Pay",E159="Vacation Leave Without Pay"),0)</f>
        <v/>
      </c>
      <c r="H159">
        <v>0</v>
      </c>
      <c r="I159">
        <v>0</v>
      </c>
      <c r="J159">
        <v>0</v>
      </c>
      <c r="K159" s="40" t="str">
        <f t="shared" si="10"/>
        <v>7</v>
      </c>
      <c r="M159" cm="1">
        <f t="array" ref="M159">_xlfn.IFS(
OR(E159="Absent",
   E159="Sick Leave Without Pay",
   E159="Vacation Leave Without Pay",
   E159="Rest Day"), 0,
OR(E159="Approved Sick Leave",
   E159="Approved Vacation Leave"), 1,
D159="Regular Non-Working Holiday",
    IF(E159="Worked",
        IF(F159="Yes",2.6,2),
        1),
D159="Regular Working Holiday",
    IF(E159="Worked",
        IF(F159="Yes",2.6,2),
        1),
D159="Special Non-Working Holiday",
    IF(E159="Worked",
        IF(F159="Yes",1.5,1.3),
        0),
D159="Special Working Holiday",
    1,
D159="Regular",
    IF(F159="Yes",
        IF(E159="Worked",1.3,0),
        IF(E159="Worked",1,0)
    )
)</f>
        <v>0</v>
      </c>
      <c r="N159" cm="1">
        <f t="array" ref="N159">_xlfn.IFS(
F159="No",
    _xlfn.IFS(
        D159="Regular", 1.25,
        OR(D159="Special Working Holiday", D159="Special Non-Working Holiday"), 1.3*1.3,
        OR(D159="Regular Working Holiday", D159="Regular Non-Working Holiday"), 2*1.3
    ),
F159="Yes",
    _xlfn.IFS(
        D159="Regular", 1.3*1.3,
        OR(D159="Special Working Holiday", D159="Special Non-Working Holiday"), 1.5*1.3,
        OR(D159="Regular Working Holiday", D159="Regular Non-Working Holiday"), 2.6*1.3
    )
)</f>
        <v>1.25</v>
      </c>
      <c r="O159" s="9" t="str">
        <f t="shared" si="8"/>
        <v/>
      </c>
      <c r="P159" t="str" cm="1">
        <f t="array" ref="P159">_xlfn.IFS(
  OR(DAY(B159)=5, DAY(B159)=20), "Cut-off", OR(DAY(B159)=6, DAY(B159)=21), "Start",
  OR(
     DAY(B159)=15,
     DAY(B159)=30, AND(MONTH(B159)=2,DAY(B159)=DAY(EOMONTH(B159,0)))
  ), "Payday",
  TRUE, ""
)</f>
        <v/>
      </c>
    </row>
    <row r="160" spans="1:16" x14ac:dyDescent="0.25">
      <c r="A160" s="49"/>
      <c r="B160" s="38">
        <v>46228</v>
      </c>
      <c r="C160" s="38" t="s">
        <v>13</v>
      </c>
      <c r="D160" t="str">
        <f>_xlfn.XLOOKUP(B160,'Holidays 2026'!$A$2:$A$27,'Holidays 2026'!$G$2:$G$27,"Regular",0,1)</f>
        <v>Regular</v>
      </c>
      <c r="F160" t="str">
        <f t="shared" si="9"/>
        <v>Yes</v>
      </c>
      <c r="G160" t="str" cm="1">
        <f t="array" ref="G160">_xlfn.IFS(OR(E160="Worked",E160="Approved Sick Leave",E160="Approved Vacation Leave",E160="Holiday"),8,E160="","",OR(E160="Absent",E160="Rest Day",E160="Sick Leave Without Pay",E160="Vacation Leave Without Pay"),0)</f>
        <v/>
      </c>
      <c r="H160">
        <v>0</v>
      </c>
      <c r="I160">
        <v>0</v>
      </c>
      <c r="J160">
        <v>0</v>
      </c>
      <c r="K160" s="40" t="str">
        <f t="shared" si="10"/>
        <v>7</v>
      </c>
      <c r="M160" cm="1">
        <f t="array" ref="M160">_xlfn.IFS(
OR(E160="Absent",
   E160="Sick Leave Without Pay",
   E160="Vacation Leave Without Pay",
   E160="Rest Day"), 0,
OR(E160="Approved Sick Leave",
   E160="Approved Vacation Leave"), 1,
D160="Regular Non-Working Holiday",
    IF(E160="Worked",
        IF(F160="Yes",2.6,2),
        1),
D160="Regular Working Holiday",
    IF(E160="Worked",
        IF(F160="Yes",2.6,2),
        1),
D160="Special Non-Working Holiday",
    IF(E160="Worked",
        IF(F160="Yes",1.5,1.3),
        0),
D160="Special Working Holiday",
    1,
D160="Regular",
    IF(F160="Yes",
        IF(E160="Worked",1.3,0),
        IF(E160="Worked",1,0)
    )
)</f>
        <v>0</v>
      </c>
      <c r="N160" cm="1">
        <f t="array" ref="N160">_xlfn.IFS(
F160="No",
    _xlfn.IFS(
        D160="Regular", 1.25,
        OR(D160="Special Working Holiday", D160="Special Non-Working Holiday"), 1.3*1.3,
        OR(D160="Regular Working Holiday", D160="Regular Non-Working Holiday"), 2*1.3
    ),
F160="Yes",
    _xlfn.IFS(
        D160="Regular", 1.3*1.3,
        OR(D160="Special Working Holiday", D160="Special Non-Working Holiday"), 1.5*1.3,
        OR(D160="Regular Working Holiday", D160="Regular Non-Working Holiday"), 2.6*1.3
    )
)</f>
        <v>1.6900000000000002</v>
      </c>
      <c r="O160" s="9" t="str">
        <f t="shared" si="8"/>
        <v/>
      </c>
      <c r="P160" t="str" cm="1">
        <f t="array" ref="P160">_xlfn.IFS(
  OR(DAY(B160)=5, DAY(B160)=20), "Cut-off", OR(DAY(B160)=6, DAY(B160)=21), "Start",
  OR(
     DAY(B160)=15,
     DAY(B160)=30, AND(MONTH(B160)=2,DAY(B160)=DAY(EOMONTH(B160,0)))
  ), "Payday",
  TRUE, ""
)</f>
        <v/>
      </c>
    </row>
    <row r="161" spans="1:16" x14ac:dyDescent="0.25">
      <c r="A161" s="49"/>
      <c r="B161" s="38">
        <v>46229</v>
      </c>
      <c r="C161" s="38" t="s">
        <v>13</v>
      </c>
      <c r="D161" t="str">
        <f>_xlfn.XLOOKUP(B161,'Holidays 2026'!$A$2:$A$27,'Holidays 2026'!$G$2:$G$27,"Regular",0,1)</f>
        <v>Regular</v>
      </c>
      <c r="F161" t="str">
        <f t="shared" si="9"/>
        <v>Yes</v>
      </c>
      <c r="G161" t="str" cm="1">
        <f t="array" ref="G161">_xlfn.IFS(OR(E161="Worked",E161="Approved Sick Leave",E161="Approved Vacation Leave",E161="Holiday"),8,E161="","",OR(E161="Absent",E161="Rest Day",E161="Sick Leave Without Pay",E161="Vacation Leave Without Pay"),0)</f>
        <v/>
      </c>
      <c r="H161">
        <v>0</v>
      </c>
      <c r="I161">
        <v>0</v>
      </c>
      <c r="J161">
        <v>0</v>
      </c>
      <c r="K161" s="40" t="str">
        <f t="shared" si="10"/>
        <v>7</v>
      </c>
      <c r="M161" cm="1">
        <f t="array" ref="M161">_xlfn.IFS(
OR(E161="Absent",
   E161="Sick Leave Without Pay",
   E161="Vacation Leave Without Pay",
   E161="Rest Day"), 0,
OR(E161="Approved Sick Leave",
   E161="Approved Vacation Leave"), 1,
D161="Regular Non-Working Holiday",
    IF(E161="Worked",
        IF(F161="Yes",2.6,2),
        1),
D161="Regular Working Holiday",
    IF(E161="Worked",
        IF(F161="Yes",2.6,2),
        1),
D161="Special Non-Working Holiday",
    IF(E161="Worked",
        IF(F161="Yes",1.5,1.3),
        0),
D161="Special Working Holiday",
    1,
D161="Regular",
    IF(F161="Yes",
        IF(E161="Worked",1.3,0),
        IF(E161="Worked",1,0)
    )
)</f>
        <v>0</v>
      </c>
      <c r="N161" cm="1">
        <f t="array" ref="N161">_xlfn.IFS(
F161="No",
    _xlfn.IFS(
        D161="Regular", 1.25,
        OR(D161="Special Working Holiday", D161="Special Non-Working Holiday"), 1.3*1.3,
        OR(D161="Regular Working Holiday", D161="Regular Non-Working Holiday"), 2*1.3
    ),
F161="Yes",
    _xlfn.IFS(
        D161="Regular", 1.3*1.3,
        OR(D161="Special Working Holiday", D161="Special Non-Working Holiday"), 1.5*1.3,
        OR(D161="Regular Working Holiday", D161="Regular Non-Working Holiday"), 2.6*1.3
    )
)</f>
        <v>1.6900000000000002</v>
      </c>
      <c r="O161" s="9" t="str">
        <f t="shared" si="8"/>
        <v/>
      </c>
      <c r="P161" t="str" cm="1">
        <f t="array" ref="P161">_xlfn.IFS(
  OR(DAY(B161)=5, DAY(B161)=20), "Cut-off", OR(DAY(B161)=6, DAY(B161)=21), "Start",
  OR(
     DAY(B161)=15,
     DAY(B161)=30, AND(MONTH(B161)=2,DAY(B161)=DAY(EOMONTH(B161,0)))
  ), "Payday",
  TRUE, ""
)</f>
        <v/>
      </c>
    </row>
    <row r="162" spans="1:16" x14ac:dyDescent="0.25">
      <c r="A162" s="49"/>
      <c r="B162" s="38">
        <v>46230</v>
      </c>
      <c r="C162" s="38" t="s">
        <v>13</v>
      </c>
      <c r="D162" t="str">
        <f>_xlfn.XLOOKUP(B162,'Holidays 2026'!$A$2:$A$27,'Holidays 2026'!$G$2:$G$27,"Regular",0,1)</f>
        <v>Regular</v>
      </c>
      <c r="F162" t="str">
        <f t="shared" si="9"/>
        <v>No</v>
      </c>
      <c r="G162" t="str" cm="1">
        <f t="array" ref="G162">_xlfn.IFS(OR(E162="Worked",E162="Approved Sick Leave",E162="Approved Vacation Leave",E162="Holiday"),8,E162="","",OR(E162="Absent",E162="Rest Day",E162="Sick Leave Without Pay",E162="Vacation Leave Without Pay"),0)</f>
        <v/>
      </c>
      <c r="H162">
        <v>0</v>
      </c>
      <c r="I162">
        <v>0</v>
      </c>
      <c r="J162">
        <v>0</v>
      </c>
      <c r="K162" s="40" t="str">
        <f t="shared" si="10"/>
        <v>7</v>
      </c>
      <c r="M162" cm="1">
        <f t="array" ref="M162">_xlfn.IFS(
OR(E162="Absent",
   E162="Sick Leave Without Pay",
   E162="Vacation Leave Without Pay",
   E162="Rest Day"), 0,
OR(E162="Approved Sick Leave",
   E162="Approved Vacation Leave"), 1,
D162="Regular Non-Working Holiday",
    IF(E162="Worked",
        IF(F162="Yes",2.6,2),
        1),
D162="Regular Working Holiday",
    IF(E162="Worked",
        IF(F162="Yes",2.6,2),
        1),
D162="Special Non-Working Holiday",
    IF(E162="Worked",
        IF(F162="Yes",1.5,1.3),
        0),
D162="Special Working Holiday",
    1,
D162="Regular",
    IF(F162="Yes",
        IF(E162="Worked",1.3,0),
        IF(E162="Worked",1,0)
    )
)</f>
        <v>0</v>
      </c>
      <c r="N162" cm="1">
        <f t="array" ref="N162">_xlfn.IFS(
F162="No",
    _xlfn.IFS(
        D162="Regular", 1.25,
        OR(D162="Special Working Holiday", D162="Special Non-Working Holiday"), 1.3*1.3,
        OR(D162="Regular Working Holiday", D162="Regular Non-Working Holiday"), 2*1.3
    ),
F162="Yes",
    _xlfn.IFS(
        D162="Regular", 1.3*1.3,
        OR(D162="Special Working Holiday", D162="Special Non-Working Holiday"), 1.5*1.3,
        OR(D162="Regular Working Holiday", D162="Regular Non-Working Holiday"), 2.6*1.3
    )
)</f>
        <v>1.25</v>
      </c>
      <c r="O162" s="9" t="str">
        <f t="shared" si="8"/>
        <v/>
      </c>
      <c r="P162" t="str" cm="1">
        <f t="array" ref="P162">_xlfn.IFS(
  OR(DAY(B162)=5, DAY(B162)=20), "Cut-off", OR(DAY(B162)=6, DAY(B162)=21), "Start",
  OR(
     DAY(B162)=15,
     DAY(B162)=30, AND(MONTH(B162)=2,DAY(B162)=DAY(EOMONTH(B162,0)))
  ), "Payday",
  TRUE, ""
)</f>
        <v/>
      </c>
    </row>
    <row r="163" spans="1:16" x14ac:dyDescent="0.25">
      <c r="A163" s="49"/>
      <c r="B163" s="38">
        <v>46231</v>
      </c>
      <c r="C163" s="38" t="s">
        <v>13</v>
      </c>
      <c r="D163" t="str">
        <f>_xlfn.XLOOKUP(B163,'Holidays 2026'!$A$2:$A$27,'Holidays 2026'!$G$2:$G$27,"Regular",0,1)</f>
        <v>Regular</v>
      </c>
      <c r="F163" t="str">
        <f t="shared" si="9"/>
        <v>No</v>
      </c>
      <c r="G163" t="str" cm="1">
        <f t="array" ref="G163">_xlfn.IFS(OR(E163="Worked",E163="Approved Sick Leave",E163="Approved Vacation Leave",E163="Holiday"),8,E163="","",OR(E163="Absent",E163="Rest Day",E163="Sick Leave Without Pay",E163="Vacation Leave Without Pay"),0)</f>
        <v/>
      </c>
      <c r="H163">
        <v>0</v>
      </c>
      <c r="I163">
        <v>0</v>
      </c>
      <c r="J163">
        <v>0</v>
      </c>
      <c r="K163" s="40" t="str">
        <f t="shared" si="10"/>
        <v>7</v>
      </c>
      <c r="M163" cm="1">
        <f t="array" ref="M163">_xlfn.IFS(
OR(E163="Absent",
   E163="Sick Leave Without Pay",
   E163="Vacation Leave Without Pay",
   E163="Rest Day"), 0,
OR(E163="Approved Sick Leave",
   E163="Approved Vacation Leave"), 1,
D163="Regular Non-Working Holiday",
    IF(E163="Worked",
        IF(F163="Yes",2.6,2),
        1),
D163="Regular Working Holiday",
    IF(E163="Worked",
        IF(F163="Yes",2.6,2),
        1),
D163="Special Non-Working Holiday",
    IF(E163="Worked",
        IF(F163="Yes",1.5,1.3),
        0),
D163="Special Working Holiday",
    1,
D163="Regular",
    IF(F163="Yes",
        IF(E163="Worked",1.3,0),
        IF(E163="Worked",1,0)
    )
)</f>
        <v>0</v>
      </c>
      <c r="N163" cm="1">
        <f t="array" ref="N163">_xlfn.IFS(
F163="No",
    _xlfn.IFS(
        D163="Regular", 1.25,
        OR(D163="Special Working Holiday", D163="Special Non-Working Holiday"), 1.3*1.3,
        OR(D163="Regular Working Holiday", D163="Regular Non-Working Holiday"), 2*1.3
    ),
F163="Yes",
    _xlfn.IFS(
        D163="Regular", 1.3*1.3,
        OR(D163="Special Working Holiday", D163="Special Non-Working Holiday"), 1.5*1.3,
        OR(D163="Regular Working Holiday", D163="Regular Non-Working Holiday"), 2.6*1.3
    )
)</f>
        <v>1.25</v>
      </c>
      <c r="O163" s="9" t="str">
        <f t="shared" si="8"/>
        <v/>
      </c>
      <c r="P163" t="str" cm="1">
        <f t="array" ref="P163">_xlfn.IFS(
  OR(DAY(B163)=5, DAY(B163)=20), "Cut-off", OR(DAY(B163)=6, DAY(B163)=21), "Start",
  OR(
     DAY(B163)=15,
     DAY(B163)=30, AND(MONTH(B163)=2,DAY(B163)=DAY(EOMONTH(B163,0)))
  ), "Payday",
  TRUE, ""
)</f>
        <v/>
      </c>
    </row>
    <row r="164" spans="1:16" x14ac:dyDescent="0.25">
      <c r="A164" s="49"/>
      <c r="B164" s="38">
        <v>46232</v>
      </c>
      <c r="C164" s="38" t="s">
        <v>13</v>
      </c>
      <c r="D164" t="str">
        <f>_xlfn.XLOOKUP(B164,'Holidays 2026'!$A$2:$A$27,'Holidays 2026'!$G$2:$G$27,"Regular",0,1)</f>
        <v>Regular</v>
      </c>
      <c r="F164" t="str">
        <f t="shared" si="9"/>
        <v>No</v>
      </c>
      <c r="G164" t="str" cm="1">
        <f t="array" ref="G164">_xlfn.IFS(OR(E164="Worked",E164="Approved Sick Leave",E164="Approved Vacation Leave",E164="Holiday"),8,E164="","",OR(E164="Absent",E164="Rest Day",E164="Sick Leave Without Pay",E164="Vacation Leave Without Pay"),0)</f>
        <v/>
      </c>
      <c r="H164">
        <v>0</v>
      </c>
      <c r="I164">
        <v>0</v>
      </c>
      <c r="J164">
        <v>0</v>
      </c>
      <c r="K164" s="40" t="str">
        <f t="shared" si="10"/>
        <v>7</v>
      </c>
      <c r="M164" cm="1">
        <f t="array" ref="M164">_xlfn.IFS(
OR(E164="Absent",
   E164="Sick Leave Without Pay",
   E164="Vacation Leave Without Pay",
   E164="Rest Day"), 0,
OR(E164="Approved Sick Leave",
   E164="Approved Vacation Leave"), 1,
D164="Regular Non-Working Holiday",
    IF(E164="Worked",
        IF(F164="Yes",2.6,2),
        1),
D164="Regular Working Holiday",
    IF(E164="Worked",
        IF(F164="Yes",2.6,2),
        1),
D164="Special Non-Working Holiday",
    IF(E164="Worked",
        IF(F164="Yes",1.5,1.3),
        0),
D164="Special Working Holiday",
    1,
D164="Regular",
    IF(F164="Yes",
        IF(E164="Worked",1.3,0),
        IF(E164="Worked",1,0)
    )
)</f>
        <v>0</v>
      </c>
      <c r="N164" cm="1">
        <f t="array" ref="N164">_xlfn.IFS(
F164="No",
    _xlfn.IFS(
        D164="Regular", 1.25,
        OR(D164="Special Working Holiday", D164="Special Non-Working Holiday"), 1.3*1.3,
        OR(D164="Regular Working Holiday", D164="Regular Non-Working Holiday"), 2*1.3
    ),
F164="Yes",
    _xlfn.IFS(
        D164="Regular", 1.3*1.3,
        OR(D164="Special Working Holiday", D164="Special Non-Working Holiday"), 1.5*1.3,
        OR(D164="Regular Working Holiday", D164="Regular Non-Working Holiday"), 2.6*1.3
    )
)</f>
        <v>1.25</v>
      </c>
      <c r="O164" s="9" t="str">
        <f t="shared" si="8"/>
        <v/>
      </c>
      <c r="P164" t="str" cm="1">
        <f t="array" ref="P164">_xlfn.IFS(
  OR(DAY(B164)=5, DAY(B164)=20), "Cut-off", OR(DAY(B164)=6, DAY(B164)=21), "Start",
  OR(
     DAY(B164)=15,
     DAY(B164)=30, AND(MONTH(B164)=2,DAY(B164)=DAY(EOMONTH(B164,0)))
  ), "Payday",
  TRUE, ""
)</f>
        <v/>
      </c>
    </row>
    <row r="165" spans="1:16" x14ac:dyDescent="0.25">
      <c r="A165" s="49"/>
      <c r="B165" s="38">
        <v>46233</v>
      </c>
      <c r="C165" s="38" t="s">
        <v>13</v>
      </c>
      <c r="D165" t="str">
        <f>_xlfn.XLOOKUP(B165,'Holidays 2026'!$A$2:$A$27,'Holidays 2026'!$G$2:$G$27,"Regular",0,1)</f>
        <v>Regular</v>
      </c>
      <c r="F165" t="str">
        <f t="shared" si="9"/>
        <v>No</v>
      </c>
      <c r="G165" t="str" cm="1">
        <f t="array" ref="G165">_xlfn.IFS(OR(E165="Worked",E165="Approved Sick Leave",E165="Approved Vacation Leave",E165="Holiday"),8,E165="","",OR(E165="Absent",E165="Rest Day",E165="Sick Leave Without Pay",E165="Vacation Leave Without Pay"),0)</f>
        <v/>
      </c>
      <c r="H165">
        <v>0</v>
      </c>
      <c r="I165">
        <v>0</v>
      </c>
      <c r="J165">
        <v>0</v>
      </c>
      <c r="K165" s="40" t="str">
        <f t="shared" si="10"/>
        <v>7</v>
      </c>
      <c r="M165" cm="1">
        <f t="array" ref="M165">_xlfn.IFS(
OR(E165="Absent",
   E165="Sick Leave Without Pay",
   E165="Vacation Leave Without Pay",
   E165="Rest Day"), 0,
OR(E165="Approved Sick Leave",
   E165="Approved Vacation Leave"), 1,
D165="Regular Non-Working Holiday",
    IF(E165="Worked",
        IF(F165="Yes",2.6,2),
        1),
D165="Regular Working Holiday",
    IF(E165="Worked",
        IF(F165="Yes",2.6,2),
        1),
D165="Special Non-Working Holiday",
    IF(E165="Worked",
        IF(F165="Yes",1.5,1.3),
        0),
D165="Special Working Holiday",
    1,
D165="Regular",
    IF(F165="Yes",
        IF(E165="Worked",1.3,0),
        IF(E165="Worked",1,0)
    )
)</f>
        <v>0</v>
      </c>
      <c r="N165" cm="1">
        <f t="array" ref="N165">_xlfn.IFS(
F165="No",
    _xlfn.IFS(
        D165="Regular", 1.25,
        OR(D165="Special Working Holiday", D165="Special Non-Working Holiday"), 1.3*1.3,
        OR(D165="Regular Working Holiday", D165="Regular Non-Working Holiday"), 2*1.3
    ),
F165="Yes",
    _xlfn.IFS(
        D165="Regular", 1.3*1.3,
        OR(D165="Special Working Holiday", D165="Special Non-Working Holiday"), 1.5*1.3,
        OR(D165="Regular Working Holiday", D165="Regular Non-Working Holiday"), 2.6*1.3
    )
)</f>
        <v>1.25</v>
      </c>
      <c r="O165" s="9" t="str">
        <f t="shared" si="8"/>
        <v/>
      </c>
      <c r="P165" t="str" cm="1">
        <f t="array" ref="P165">_xlfn.IFS(
  OR(DAY(B165)=5, DAY(B165)=20), "Cut-off", OR(DAY(B165)=6, DAY(B165)=21), "Start",
  OR(
     DAY(B165)=15,
     DAY(B165)=30, AND(MONTH(B165)=2,DAY(B165)=DAY(EOMONTH(B165,0)))
  ), "Payday",
  TRUE, ""
)</f>
        <v>Payday</v>
      </c>
    </row>
    <row r="166" spans="1:16" x14ac:dyDescent="0.25">
      <c r="A166" s="49"/>
      <c r="B166" s="38">
        <v>46234</v>
      </c>
      <c r="C166" s="38" t="s">
        <v>13</v>
      </c>
      <c r="D166" t="str">
        <f>_xlfn.XLOOKUP(B166,'Holidays 2026'!$A$2:$A$27,'Holidays 2026'!$G$2:$G$27,"Regular",0,1)</f>
        <v>Regular</v>
      </c>
      <c r="F166" t="str">
        <f t="shared" si="9"/>
        <v>No</v>
      </c>
      <c r="G166" t="str" cm="1">
        <f t="array" ref="G166">_xlfn.IFS(OR(E166="Worked",E166="Approved Sick Leave",E166="Approved Vacation Leave",E166="Holiday"),8,E166="","",OR(E166="Absent",E166="Rest Day",E166="Sick Leave Without Pay",E166="Vacation Leave Without Pay"),0)</f>
        <v/>
      </c>
      <c r="H166">
        <v>0</v>
      </c>
      <c r="I166">
        <v>0</v>
      </c>
      <c r="J166">
        <v>0</v>
      </c>
      <c r="K166" s="40" t="str">
        <f t="shared" si="10"/>
        <v>7</v>
      </c>
      <c r="M166" cm="1">
        <f t="array" ref="M166">_xlfn.IFS(
OR(E166="Absent",
   E166="Sick Leave Without Pay",
   E166="Vacation Leave Without Pay",
   E166="Rest Day"), 0,
OR(E166="Approved Sick Leave",
   E166="Approved Vacation Leave"), 1,
D166="Regular Non-Working Holiday",
    IF(E166="Worked",
        IF(F166="Yes",2.6,2),
        1),
D166="Regular Working Holiday",
    IF(E166="Worked",
        IF(F166="Yes",2.6,2),
        1),
D166="Special Non-Working Holiday",
    IF(E166="Worked",
        IF(F166="Yes",1.5,1.3),
        0),
D166="Special Working Holiday",
    1,
D166="Regular",
    IF(F166="Yes",
        IF(E166="Worked",1.3,0),
        IF(E166="Worked",1,0)
    )
)</f>
        <v>0</v>
      </c>
      <c r="N166" cm="1">
        <f t="array" ref="N166">_xlfn.IFS(
F166="No",
    _xlfn.IFS(
        D166="Regular", 1.25,
        OR(D166="Special Working Holiday", D166="Special Non-Working Holiday"), 1.3*1.3,
        OR(D166="Regular Working Holiday", D166="Regular Non-Working Holiday"), 2*1.3
    ),
F166="Yes",
    _xlfn.IFS(
        D166="Regular", 1.3*1.3,
        OR(D166="Special Working Holiday", D166="Special Non-Working Holiday"), 1.5*1.3,
        OR(D166="Regular Working Holiday", D166="Regular Non-Working Holiday"), 2.6*1.3
    )
)</f>
        <v>1.25</v>
      </c>
      <c r="O166" s="9" t="str">
        <f t="shared" si="8"/>
        <v/>
      </c>
      <c r="P166" t="str" cm="1">
        <f t="array" ref="P166">_xlfn.IFS(
  OR(DAY(B166)=5, DAY(B166)=20), "Cut-off", OR(DAY(B166)=6, DAY(B166)=21), "Start",
  OR(
     DAY(B166)=15,
     DAY(B166)=30, AND(MONTH(B166)=2,DAY(B166)=DAY(EOMONTH(B166,0)))
  ), "Payday",
  TRUE, ""
)</f>
        <v/>
      </c>
    </row>
    <row r="167" spans="1:16" x14ac:dyDescent="0.25">
      <c r="A167" s="49" t="s">
        <v>100</v>
      </c>
      <c r="B167" s="38">
        <v>46235</v>
      </c>
      <c r="C167" s="38" t="s">
        <v>14</v>
      </c>
      <c r="D167" t="str">
        <f>_xlfn.XLOOKUP(B167,'Holidays 2026'!$A$2:$A$27,'Holidays 2026'!$G$2:$G$27,"Regular",0,1)</f>
        <v>Regular</v>
      </c>
      <c r="F167" t="str">
        <f t="shared" si="9"/>
        <v>Yes</v>
      </c>
      <c r="G167" t="str" cm="1">
        <f t="array" ref="G167">_xlfn.IFS(OR(E167="Worked",E167="Approved Sick Leave",E167="Approved Vacation Leave",E167="Holiday"),8,E167="","",OR(E167="Absent",E167="Rest Day",E167="Sick Leave Without Pay",E167="Vacation Leave Without Pay"),0)</f>
        <v/>
      </c>
      <c r="H167">
        <v>0</v>
      </c>
      <c r="I167">
        <v>0</v>
      </c>
      <c r="J167">
        <v>0</v>
      </c>
      <c r="K167" s="40" t="str">
        <f t="shared" si="10"/>
        <v>7</v>
      </c>
      <c r="M167" cm="1">
        <f t="array" ref="M167">_xlfn.IFS(
OR(E167="Absent",
   E167="Sick Leave Without Pay",
   E167="Vacation Leave Without Pay",
   E167="Rest Day"), 0,
OR(E167="Approved Sick Leave",
   E167="Approved Vacation Leave"), 1,
D167="Regular Non-Working Holiday",
    IF(E167="Worked",
        IF(F167="Yes",2.6,2),
        1),
D167="Regular Working Holiday",
    IF(E167="Worked",
        IF(F167="Yes",2.6,2),
        1),
D167="Special Non-Working Holiday",
    IF(E167="Worked",
        IF(F167="Yes",1.5,1.3),
        0),
D167="Special Working Holiday",
    1,
D167="Regular",
    IF(F167="Yes",
        IF(E167="Worked",1.3,0),
        IF(E167="Worked",1,0)
    )
)</f>
        <v>0</v>
      </c>
      <c r="N167" cm="1">
        <f t="array" ref="N167">_xlfn.IFS(
F167="No",
    _xlfn.IFS(
        D167="Regular", 1.25,
        OR(D167="Special Working Holiday", D167="Special Non-Working Holiday"), 1.3*1.3,
        OR(D167="Regular Working Holiday", D167="Regular Non-Working Holiday"), 2*1.3
    ),
F167="Yes",
    _xlfn.IFS(
        D167="Regular", 1.3*1.3,
        OR(D167="Special Working Holiday", D167="Special Non-Working Holiday"), 1.5*1.3,
        OR(D167="Regular Working Holiday", D167="Regular Non-Working Holiday"), 2.6*1.3
    )
)</f>
        <v>1.6900000000000002</v>
      </c>
      <c r="O167" s="9" t="str">
        <f t="shared" si="8"/>
        <v/>
      </c>
      <c r="P167" t="str" cm="1">
        <f t="array" ref="P167">_xlfn.IFS(
  OR(DAY(B167)=5, DAY(B167)=20), "Cut-off", OR(DAY(B167)=6, DAY(B167)=21), "Start",
  OR(
     DAY(B167)=15,
     DAY(B167)=30, AND(MONTH(B167)=2,DAY(B167)=DAY(EOMONTH(B167,0)))
  ), "Payday",
  TRUE, ""
)</f>
        <v/>
      </c>
    </row>
    <row r="168" spans="1:16" x14ac:dyDescent="0.25">
      <c r="A168" s="49"/>
      <c r="B168" s="38">
        <v>46236</v>
      </c>
      <c r="C168" s="38" t="s">
        <v>14</v>
      </c>
      <c r="D168" t="str">
        <f>_xlfn.XLOOKUP(B168,'Holidays 2026'!$A$2:$A$27,'Holidays 2026'!$G$2:$G$27,"Regular",0,1)</f>
        <v>Regular</v>
      </c>
      <c r="F168" t="str">
        <f t="shared" si="9"/>
        <v>Yes</v>
      </c>
      <c r="G168" t="str" cm="1">
        <f t="array" ref="G168">_xlfn.IFS(OR(E168="Worked",E168="Approved Sick Leave",E168="Approved Vacation Leave",E168="Holiday"),8,E168="","",OR(E168="Absent",E168="Rest Day",E168="Sick Leave Without Pay",E168="Vacation Leave Without Pay"),0)</f>
        <v/>
      </c>
      <c r="H168">
        <v>0</v>
      </c>
      <c r="I168">
        <v>0</v>
      </c>
      <c r="J168">
        <v>0</v>
      </c>
      <c r="K168" s="40" t="str">
        <f t="shared" si="10"/>
        <v>7</v>
      </c>
      <c r="M168" cm="1">
        <f t="array" ref="M168">_xlfn.IFS(
OR(E168="Absent",
   E168="Sick Leave Without Pay",
   E168="Vacation Leave Without Pay",
   E168="Rest Day"), 0,
OR(E168="Approved Sick Leave",
   E168="Approved Vacation Leave"), 1,
D168="Regular Non-Working Holiday",
    IF(E168="Worked",
        IF(F168="Yes",2.6,2),
        1),
D168="Regular Working Holiday",
    IF(E168="Worked",
        IF(F168="Yes",2.6,2),
        1),
D168="Special Non-Working Holiday",
    IF(E168="Worked",
        IF(F168="Yes",1.5,1.3),
        0),
D168="Special Working Holiday",
    1,
D168="Regular",
    IF(F168="Yes",
        IF(E168="Worked",1.3,0),
        IF(E168="Worked",1,0)
    )
)</f>
        <v>0</v>
      </c>
      <c r="N168" cm="1">
        <f t="array" ref="N168">_xlfn.IFS(
F168="No",
    _xlfn.IFS(
        D168="Regular", 1.25,
        OR(D168="Special Working Holiday", D168="Special Non-Working Holiday"), 1.3*1.3,
        OR(D168="Regular Working Holiday", D168="Regular Non-Working Holiday"), 2*1.3
    ),
F168="Yes",
    _xlfn.IFS(
        D168="Regular", 1.3*1.3,
        OR(D168="Special Working Holiday", D168="Special Non-Working Holiday"), 1.5*1.3,
        OR(D168="Regular Working Holiday", D168="Regular Non-Working Holiday"), 2.6*1.3
    )
)</f>
        <v>1.6900000000000002</v>
      </c>
      <c r="O168" s="9" t="str">
        <f t="shared" si="8"/>
        <v/>
      </c>
      <c r="P168" t="str" cm="1">
        <f t="array" ref="P168">_xlfn.IFS(
  OR(DAY(B168)=5, DAY(B168)=20), "Cut-off", OR(DAY(B168)=6, DAY(B168)=21), "Start",
  OR(
     DAY(B168)=15,
     DAY(B168)=30, AND(MONTH(B168)=2,DAY(B168)=DAY(EOMONTH(B168,0)))
  ), "Payday",
  TRUE, ""
)</f>
        <v/>
      </c>
    </row>
    <row r="169" spans="1:16" x14ac:dyDescent="0.25">
      <c r="A169" s="49"/>
      <c r="B169" s="38">
        <v>46237</v>
      </c>
      <c r="C169" s="38" t="s">
        <v>14</v>
      </c>
      <c r="D169" t="str">
        <f>_xlfn.XLOOKUP(B169,'Holidays 2026'!$A$2:$A$27,'Holidays 2026'!$G$2:$G$27,"Regular",0,1)</f>
        <v>Regular</v>
      </c>
      <c r="F169" t="str">
        <f t="shared" si="9"/>
        <v>No</v>
      </c>
      <c r="G169" t="str" cm="1">
        <f t="array" ref="G169">_xlfn.IFS(OR(E169="Worked",E169="Approved Sick Leave",E169="Approved Vacation Leave",E169="Holiday"),8,E169="","",OR(E169="Absent",E169="Rest Day",E169="Sick Leave Without Pay",E169="Vacation Leave Without Pay"),0)</f>
        <v/>
      </c>
      <c r="H169">
        <v>0</v>
      </c>
      <c r="I169">
        <v>0</v>
      </c>
      <c r="J169">
        <v>0</v>
      </c>
      <c r="K169" s="40" t="str">
        <f t="shared" si="10"/>
        <v>7</v>
      </c>
      <c r="M169" cm="1">
        <f t="array" ref="M169">_xlfn.IFS(
OR(E169="Absent",
   E169="Sick Leave Without Pay",
   E169="Vacation Leave Without Pay",
   E169="Rest Day"), 0,
OR(E169="Approved Sick Leave",
   E169="Approved Vacation Leave"), 1,
D169="Regular Non-Working Holiday",
    IF(E169="Worked",
        IF(F169="Yes",2.6,2),
        1),
D169="Regular Working Holiday",
    IF(E169="Worked",
        IF(F169="Yes",2.6,2),
        1),
D169="Special Non-Working Holiday",
    IF(E169="Worked",
        IF(F169="Yes",1.5,1.3),
        0),
D169="Special Working Holiday",
    1,
D169="Regular",
    IF(F169="Yes",
        IF(E169="Worked",1.3,0),
        IF(E169="Worked",1,0)
    )
)</f>
        <v>0</v>
      </c>
      <c r="N169" cm="1">
        <f t="array" ref="N169">_xlfn.IFS(
F169="No",
    _xlfn.IFS(
        D169="Regular", 1.25,
        OR(D169="Special Working Holiday", D169="Special Non-Working Holiday"), 1.3*1.3,
        OR(D169="Regular Working Holiday", D169="Regular Non-Working Holiday"), 2*1.3
    ),
F169="Yes",
    _xlfn.IFS(
        D169="Regular", 1.3*1.3,
        OR(D169="Special Working Holiday", D169="Special Non-Working Holiday"), 1.5*1.3,
        OR(D169="Regular Working Holiday", D169="Regular Non-Working Holiday"), 2.6*1.3
    )
)</f>
        <v>1.25</v>
      </c>
      <c r="O169" s="9" t="str">
        <f t="shared" si="8"/>
        <v/>
      </c>
      <c r="P169" t="str" cm="1">
        <f t="array" ref="P169">_xlfn.IFS(
  OR(DAY(B169)=5, DAY(B169)=20), "Cut-off", OR(DAY(B169)=6, DAY(B169)=21), "Start",
  OR(
     DAY(B169)=15,
     DAY(B169)=30, AND(MONTH(B169)=2,DAY(B169)=DAY(EOMONTH(B169,0)))
  ), "Payday",
  TRUE, ""
)</f>
        <v/>
      </c>
    </row>
    <row r="170" spans="1:16" x14ac:dyDescent="0.25">
      <c r="A170" s="49"/>
      <c r="B170" s="38">
        <v>46238</v>
      </c>
      <c r="C170" s="38" t="s">
        <v>14</v>
      </c>
      <c r="D170" t="str">
        <f>_xlfn.XLOOKUP(B170,'Holidays 2026'!$A$2:$A$27,'Holidays 2026'!$G$2:$G$27,"Regular",0,1)</f>
        <v>Regular</v>
      </c>
      <c r="F170" t="str">
        <f t="shared" si="9"/>
        <v>No</v>
      </c>
      <c r="G170" t="str" cm="1">
        <f t="array" ref="G170">_xlfn.IFS(OR(E170="Worked",E170="Approved Sick Leave",E170="Approved Vacation Leave",E170="Holiday"),8,E170="","",OR(E170="Absent",E170="Rest Day",E170="Sick Leave Without Pay",E170="Vacation Leave Without Pay"),0)</f>
        <v/>
      </c>
      <c r="H170">
        <v>0</v>
      </c>
      <c r="I170">
        <v>0</v>
      </c>
      <c r="J170">
        <v>0</v>
      </c>
      <c r="K170" s="40" t="str">
        <f t="shared" si="10"/>
        <v>7</v>
      </c>
      <c r="M170" cm="1">
        <f t="array" ref="M170">_xlfn.IFS(
OR(E170="Absent",
   E170="Sick Leave Without Pay",
   E170="Vacation Leave Without Pay",
   E170="Rest Day"), 0,
OR(E170="Approved Sick Leave",
   E170="Approved Vacation Leave"), 1,
D170="Regular Non-Working Holiday",
    IF(E170="Worked",
        IF(F170="Yes",2.6,2),
        1),
D170="Regular Working Holiday",
    IF(E170="Worked",
        IF(F170="Yes",2.6,2),
        1),
D170="Special Non-Working Holiday",
    IF(E170="Worked",
        IF(F170="Yes",1.5,1.3),
        0),
D170="Special Working Holiday",
    1,
D170="Regular",
    IF(F170="Yes",
        IF(E170="Worked",1.3,0),
        IF(E170="Worked",1,0)
    )
)</f>
        <v>0</v>
      </c>
      <c r="N170" cm="1">
        <f t="array" ref="N170">_xlfn.IFS(
F170="No",
    _xlfn.IFS(
        D170="Regular", 1.25,
        OR(D170="Special Working Holiday", D170="Special Non-Working Holiday"), 1.3*1.3,
        OR(D170="Regular Working Holiday", D170="Regular Non-Working Holiday"), 2*1.3
    ),
F170="Yes",
    _xlfn.IFS(
        D170="Regular", 1.3*1.3,
        OR(D170="Special Working Holiday", D170="Special Non-Working Holiday"), 1.5*1.3,
        OR(D170="Regular Working Holiday", D170="Regular Non-Working Holiday"), 2.6*1.3
    )
)</f>
        <v>1.25</v>
      </c>
      <c r="O170" s="9" t="str">
        <f t="shared" si="8"/>
        <v/>
      </c>
      <c r="P170" t="str" cm="1">
        <f t="array" ref="P170">_xlfn.IFS(
  OR(DAY(B170)=5, DAY(B170)=20), "Cut-off", OR(DAY(B170)=6, DAY(B170)=21), "Start",
  OR(
     DAY(B170)=15,
     DAY(B170)=30, AND(MONTH(B170)=2,DAY(B170)=DAY(EOMONTH(B170,0)))
  ), "Payday",
  TRUE, ""
)</f>
        <v/>
      </c>
    </row>
    <row r="171" spans="1:16" x14ac:dyDescent="0.25">
      <c r="A171" s="49"/>
      <c r="B171" s="38">
        <v>46239</v>
      </c>
      <c r="C171" s="38" t="s">
        <v>14</v>
      </c>
      <c r="D171" t="str">
        <f>_xlfn.XLOOKUP(B171,'Holidays 2026'!$A$2:$A$27,'Holidays 2026'!$G$2:$G$27,"Regular",0,1)</f>
        <v>Regular</v>
      </c>
      <c r="F171" t="str">
        <f t="shared" si="9"/>
        <v>No</v>
      </c>
      <c r="G171" t="str" cm="1">
        <f t="array" ref="G171">_xlfn.IFS(OR(E171="Worked",E171="Approved Sick Leave",E171="Approved Vacation Leave",E171="Holiday"),8,E171="","",OR(E171="Absent",E171="Rest Day",E171="Sick Leave Without Pay",E171="Vacation Leave Without Pay"),0)</f>
        <v/>
      </c>
      <c r="H171">
        <v>0</v>
      </c>
      <c r="I171">
        <v>0</v>
      </c>
      <c r="J171">
        <v>0</v>
      </c>
      <c r="K171" s="40" t="str">
        <f t="shared" si="10"/>
        <v>7</v>
      </c>
      <c r="M171" cm="1">
        <f t="array" ref="M171">_xlfn.IFS(
OR(E171="Absent",
   E171="Sick Leave Without Pay",
   E171="Vacation Leave Without Pay",
   E171="Rest Day"), 0,
OR(E171="Approved Sick Leave",
   E171="Approved Vacation Leave"), 1,
D171="Regular Non-Working Holiday",
    IF(E171="Worked",
        IF(F171="Yes",2.6,2),
        1),
D171="Regular Working Holiday",
    IF(E171="Worked",
        IF(F171="Yes",2.6,2),
        1),
D171="Special Non-Working Holiday",
    IF(E171="Worked",
        IF(F171="Yes",1.5,1.3),
        0),
D171="Special Working Holiday",
    1,
D171="Regular",
    IF(F171="Yes",
        IF(E171="Worked",1.3,0),
        IF(E171="Worked",1,0)
    )
)</f>
        <v>0</v>
      </c>
      <c r="N171" cm="1">
        <f t="array" ref="N171">_xlfn.IFS(
F171="No",
    _xlfn.IFS(
        D171="Regular", 1.25,
        OR(D171="Special Working Holiday", D171="Special Non-Working Holiday"), 1.3*1.3,
        OR(D171="Regular Working Holiday", D171="Regular Non-Working Holiday"), 2*1.3
    ),
F171="Yes",
    _xlfn.IFS(
        D171="Regular", 1.3*1.3,
        OR(D171="Special Working Holiday", D171="Special Non-Working Holiday"), 1.5*1.3,
        OR(D171="Regular Working Holiday", D171="Regular Non-Working Holiday"), 2.6*1.3
    )
)</f>
        <v>1.25</v>
      </c>
      <c r="O171" s="9" t="str">
        <f t="shared" si="8"/>
        <v/>
      </c>
      <c r="P171" t="str" cm="1">
        <f t="array" ref="P171">_xlfn.IFS(
  OR(DAY(B171)=5, DAY(B171)=20), "Cut-off", OR(DAY(B171)=6, DAY(B171)=21), "Start",
  OR(
     DAY(B171)=15,
     DAY(B171)=30, AND(MONTH(B171)=2,DAY(B171)=DAY(EOMONTH(B171,0)))
  ), "Payday",
  TRUE, ""
)</f>
        <v>Cut-off</v>
      </c>
    </row>
    <row r="172" spans="1:16" x14ac:dyDescent="0.25">
      <c r="A172" s="49"/>
      <c r="B172" s="38">
        <v>46240</v>
      </c>
      <c r="C172" s="38" t="s">
        <v>14</v>
      </c>
      <c r="D172" t="str">
        <f>_xlfn.XLOOKUP(B172,'Holidays 2026'!$A$2:$A$27,'Holidays 2026'!$G$2:$G$27,"Regular",0,1)</f>
        <v>Regular</v>
      </c>
      <c r="F172" t="str">
        <f t="shared" si="9"/>
        <v>No</v>
      </c>
      <c r="G172" t="str" cm="1">
        <f t="array" ref="G172">_xlfn.IFS(OR(E172="Worked",E172="Approved Sick Leave",E172="Approved Vacation Leave",E172="Holiday"),8,E172="","",OR(E172="Absent",E172="Rest Day",E172="Sick Leave Without Pay",E172="Vacation Leave Without Pay"),0)</f>
        <v/>
      </c>
      <c r="H172">
        <v>0</v>
      </c>
      <c r="I172">
        <v>0</v>
      </c>
      <c r="J172">
        <v>0</v>
      </c>
      <c r="K172" s="40" t="str">
        <f t="shared" si="10"/>
        <v>7</v>
      </c>
      <c r="M172" cm="1">
        <f t="array" ref="M172">_xlfn.IFS(
OR(E172="Absent",
   E172="Sick Leave Without Pay",
   E172="Vacation Leave Without Pay",
   E172="Rest Day"), 0,
OR(E172="Approved Sick Leave",
   E172="Approved Vacation Leave"), 1,
D172="Regular Non-Working Holiday",
    IF(E172="Worked",
        IF(F172="Yes",2.6,2),
        1),
D172="Regular Working Holiday",
    IF(E172="Worked",
        IF(F172="Yes",2.6,2),
        1),
D172="Special Non-Working Holiday",
    IF(E172="Worked",
        IF(F172="Yes",1.5,1.3),
        0),
D172="Special Working Holiday",
    1,
D172="Regular",
    IF(F172="Yes",
        IF(E172="Worked",1.3,0),
        IF(E172="Worked",1,0)
    )
)</f>
        <v>0</v>
      </c>
      <c r="N172" cm="1">
        <f t="array" ref="N172">_xlfn.IFS(
F172="No",
    _xlfn.IFS(
        D172="Regular", 1.25,
        OR(D172="Special Working Holiday", D172="Special Non-Working Holiday"), 1.3*1.3,
        OR(D172="Regular Working Holiday", D172="Regular Non-Working Holiday"), 2*1.3
    ),
F172="Yes",
    _xlfn.IFS(
        D172="Regular", 1.3*1.3,
        OR(D172="Special Working Holiday", D172="Special Non-Working Holiday"), 1.5*1.3,
        OR(D172="Regular Working Holiday", D172="Regular Non-Working Holiday"), 2.6*1.3
    )
)</f>
        <v>1.25</v>
      </c>
      <c r="O172" s="9" t="str">
        <f t="shared" si="8"/>
        <v/>
      </c>
      <c r="P172" t="str" cm="1">
        <f t="array" ref="P172">_xlfn.IFS(
  OR(DAY(B172)=5, DAY(B172)=20), "Cut-off", OR(DAY(B172)=6, DAY(B172)=21), "Start",
  OR(
     DAY(B172)=15,
     DAY(B172)=30, AND(MONTH(B172)=2,DAY(B172)=DAY(EOMONTH(B172,0)))
  ), "Payday",
  TRUE, ""
)</f>
        <v>Start</v>
      </c>
    </row>
    <row r="173" spans="1:16" x14ac:dyDescent="0.25">
      <c r="A173" s="49"/>
      <c r="B173" s="38">
        <v>46241</v>
      </c>
      <c r="C173" s="38" t="s">
        <v>14</v>
      </c>
      <c r="D173" t="str">
        <f>_xlfn.XLOOKUP(B173,'Holidays 2026'!$A$2:$A$27,'Holidays 2026'!$G$2:$G$27,"Regular",0,1)</f>
        <v>Regular</v>
      </c>
      <c r="F173" t="str">
        <f t="shared" si="9"/>
        <v>No</v>
      </c>
      <c r="G173" t="str" cm="1">
        <f t="array" ref="G173">_xlfn.IFS(OR(E173="Worked",E173="Approved Sick Leave",E173="Approved Vacation Leave",E173="Holiday"),8,E173="","",OR(E173="Absent",E173="Rest Day",E173="Sick Leave Without Pay",E173="Vacation Leave Without Pay"),0)</f>
        <v/>
      </c>
      <c r="H173">
        <v>0</v>
      </c>
      <c r="I173">
        <v>0</v>
      </c>
      <c r="J173">
        <v>0</v>
      </c>
      <c r="K173" s="40" t="str">
        <f t="shared" si="10"/>
        <v>7</v>
      </c>
      <c r="M173" cm="1">
        <f t="array" ref="M173">_xlfn.IFS(
OR(E173="Absent",
   E173="Sick Leave Without Pay",
   E173="Vacation Leave Without Pay",
   E173="Rest Day"), 0,
OR(E173="Approved Sick Leave",
   E173="Approved Vacation Leave"), 1,
D173="Regular Non-Working Holiday",
    IF(E173="Worked",
        IF(F173="Yes",2.6,2),
        1),
D173="Regular Working Holiday",
    IF(E173="Worked",
        IF(F173="Yes",2.6,2),
        1),
D173="Special Non-Working Holiday",
    IF(E173="Worked",
        IF(F173="Yes",1.5,1.3),
        0),
D173="Special Working Holiday",
    1,
D173="Regular",
    IF(F173="Yes",
        IF(E173="Worked",1.3,0),
        IF(E173="Worked",1,0)
    )
)</f>
        <v>0</v>
      </c>
      <c r="N173" cm="1">
        <f t="array" ref="N173">_xlfn.IFS(
F173="No",
    _xlfn.IFS(
        D173="Regular", 1.25,
        OR(D173="Special Working Holiday", D173="Special Non-Working Holiday"), 1.3*1.3,
        OR(D173="Regular Working Holiday", D173="Regular Non-Working Holiday"), 2*1.3
    ),
F173="Yes",
    _xlfn.IFS(
        D173="Regular", 1.3*1.3,
        OR(D173="Special Working Holiday", D173="Special Non-Working Holiday"), 1.5*1.3,
        OR(D173="Regular Working Holiday", D173="Regular Non-Working Holiday"), 2.6*1.3
    )
)</f>
        <v>1.25</v>
      </c>
      <c r="O173" s="9" t="str">
        <f t="shared" si="8"/>
        <v/>
      </c>
      <c r="P173" t="str" cm="1">
        <f t="array" ref="P173">_xlfn.IFS(
  OR(DAY(B173)=5, DAY(B173)=20), "Cut-off", OR(DAY(B173)=6, DAY(B173)=21), "Start",
  OR(
     DAY(B173)=15,
     DAY(B173)=30, AND(MONTH(B173)=2,DAY(B173)=DAY(EOMONTH(B173,0)))
  ), "Payday",
  TRUE, ""
)</f>
        <v/>
      </c>
    </row>
    <row r="174" spans="1:16" x14ac:dyDescent="0.25">
      <c r="A174" s="49"/>
      <c r="B174" s="38">
        <v>46242</v>
      </c>
      <c r="C174" s="38" t="s">
        <v>14</v>
      </c>
      <c r="D174" t="str">
        <f>_xlfn.XLOOKUP(B174,'Holidays 2026'!$A$2:$A$27,'Holidays 2026'!$G$2:$G$27,"Regular",0,1)</f>
        <v>Regular</v>
      </c>
      <c r="F174" t="str">
        <f t="shared" si="9"/>
        <v>Yes</v>
      </c>
      <c r="G174" t="str" cm="1">
        <f t="array" ref="G174">_xlfn.IFS(OR(E174="Worked",E174="Approved Sick Leave",E174="Approved Vacation Leave",E174="Holiday"),8,E174="","",OR(E174="Absent",E174="Rest Day",E174="Sick Leave Without Pay",E174="Vacation Leave Without Pay"),0)</f>
        <v/>
      </c>
      <c r="H174">
        <v>0</v>
      </c>
      <c r="I174">
        <v>0</v>
      </c>
      <c r="J174">
        <v>0</v>
      </c>
      <c r="K174" s="40" t="str">
        <f t="shared" si="10"/>
        <v>7</v>
      </c>
      <c r="M174" cm="1">
        <f t="array" ref="M174">_xlfn.IFS(
OR(E174="Absent",
   E174="Sick Leave Without Pay",
   E174="Vacation Leave Without Pay",
   E174="Rest Day"), 0,
OR(E174="Approved Sick Leave",
   E174="Approved Vacation Leave"), 1,
D174="Regular Non-Working Holiday",
    IF(E174="Worked",
        IF(F174="Yes",2.6,2),
        1),
D174="Regular Working Holiday",
    IF(E174="Worked",
        IF(F174="Yes",2.6,2),
        1),
D174="Special Non-Working Holiday",
    IF(E174="Worked",
        IF(F174="Yes",1.5,1.3),
        0),
D174="Special Working Holiday",
    1,
D174="Regular",
    IF(F174="Yes",
        IF(E174="Worked",1.3,0),
        IF(E174="Worked",1,0)
    )
)</f>
        <v>0</v>
      </c>
      <c r="N174" cm="1">
        <f t="array" ref="N174">_xlfn.IFS(
F174="No",
    _xlfn.IFS(
        D174="Regular", 1.25,
        OR(D174="Special Working Holiday", D174="Special Non-Working Holiday"), 1.3*1.3,
        OR(D174="Regular Working Holiday", D174="Regular Non-Working Holiday"), 2*1.3
    ),
F174="Yes",
    _xlfn.IFS(
        D174="Regular", 1.3*1.3,
        OR(D174="Special Working Holiday", D174="Special Non-Working Holiday"), 1.5*1.3,
        OR(D174="Regular Working Holiday", D174="Regular Non-Working Holiday"), 2.6*1.3
    )
)</f>
        <v>1.6900000000000002</v>
      </c>
      <c r="O174" s="9" t="str">
        <f t="shared" si="8"/>
        <v/>
      </c>
      <c r="P174" t="str" cm="1">
        <f t="array" ref="P174">_xlfn.IFS(
  OR(DAY(B174)=5, DAY(B174)=20), "Cut-off", OR(DAY(B174)=6, DAY(B174)=21), "Start",
  OR(
     DAY(B174)=15,
     DAY(B174)=30, AND(MONTH(B174)=2,DAY(B174)=DAY(EOMONTH(B174,0)))
  ), "Payday",
  TRUE, ""
)</f>
        <v/>
      </c>
    </row>
    <row r="175" spans="1:16" x14ac:dyDescent="0.25">
      <c r="A175" s="49"/>
      <c r="B175" s="38">
        <v>46243</v>
      </c>
      <c r="C175" s="38" t="s">
        <v>14</v>
      </c>
      <c r="D175" t="str">
        <f>_xlfn.XLOOKUP(B175,'Holidays 2026'!$A$2:$A$27,'Holidays 2026'!$G$2:$G$27,"Regular",0,1)</f>
        <v>Regular</v>
      </c>
      <c r="F175" t="str">
        <f t="shared" si="9"/>
        <v>Yes</v>
      </c>
      <c r="G175" t="str" cm="1">
        <f t="array" ref="G175">_xlfn.IFS(OR(E175="Worked",E175="Approved Sick Leave",E175="Approved Vacation Leave",E175="Holiday"),8,E175="","",OR(E175="Absent",E175="Rest Day",E175="Sick Leave Without Pay",E175="Vacation Leave Without Pay"),0)</f>
        <v/>
      </c>
      <c r="H175">
        <v>0</v>
      </c>
      <c r="I175">
        <v>0</v>
      </c>
      <c r="J175">
        <v>0</v>
      </c>
      <c r="K175" s="40" t="str">
        <f t="shared" si="10"/>
        <v>7</v>
      </c>
      <c r="M175" cm="1">
        <f t="array" ref="M175">_xlfn.IFS(
OR(E175="Absent",
   E175="Sick Leave Without Pay",
   E175="Vacation Leave Without Pay",
   E175="Rest Day"), 0,
OR(E175="Approved Sick Leave",
   E175="Approved Vacation Leave"), 1,
D175="Regular Non-Working Holiday",
    IF(E175="Worked",
        IF(F175="Yes",2.6,2),
        1),
D175="Regular Working Holiday",
    IF(E175="Worked",
        IF(F175="Yes",2.6,2),
        1),
D175="Special Non-Working Holiday",
    IF(E175="Worked",
        IF(F175="Yes",1.5,1.3),
        0),
D175="Special Working Holiday",
    1,
D175="Regular",
    IF(F175="Yes",
        IF(E175="Worked",1.3,0),
        IF(E175="Worked",1,0)
    )
)</f>
        <v>0</v>
      </c>
      <c r="N175" cm="1">
        <f t="array" ref="N175">_xlfn.IFS(
F175="No",
    _xlfn.IFS(
        D175="Regular", 1.25,
        OR(D175="Special Working Holiday", D175="Special Non-Working Holiday"), 1.3*1.3,
        OR(D175="Regular Working Holiday", D175="Regular Non-Working Holiday"), 2*1.3
    ),
F175="Yes",
    _xlfn.IFS(
        D175="Regular", 1.3*1.3,
        OR(D175="Special Working Holiday", D175="Special Non-Working Holiday"), 1.5*1.3,
        OR(D175="Regular Working Holiday", D175="Regular Non-Working Holiday"), 2.6*1.3
    )
)</f>
        <v>1.6900000000000002</v>
      </c>
      <c r="O175" s="9" t="str">
        <f t="shared" si="8"/>
        <v/>
      </c>
      <c r="P175" t="str" cm="1">
        <f t="array" ref="P175">_xlfn.IFS(
  OR(DAY(B175)=5, DAY(B175)=20), "Cut-off", OR(DAY(B175)=6, DAY(B175)=21), "Start",
  OR(
     DAY(B175)=15,
     DAY(B175)=30, AND(MONTH(B175)=2,DAY(B175)=DAY(EOMONTH(B175,0)))
  ), "Payday",
  TRUE, ""
)</f>
        <v/>
      </c>
    </row>
    <row r="176" spans="1:16" x14ac:dyDescent="0.25">
      <c r="A176" s="49"/>
      <c r="B176" s="38">
        <v>46244</v>
      </c>
      <c r="C176" s="38" t="s">
        <v>14</v>
      </c>
      <c r="D176" t="str">
        <f>_xlfn.XLOOKUP(B176,'Holidays 2026'!$A$2:$A$27,'Holidays 2026'!$G$2:$G$27,"Regular",0,1)</f>
        <v>Regular</v>
      </c>
      <c r="F176" t="str">
        <f t="shared" si="9"/>
        <v>No</v>
      </c>
      <c r="G176" t="str" cm="1">
        <f t="array" ref="G176">_xlfn.IFS(OR(E176="Worked",E176="Approved Sick Leave",E176="Approved Vacation Leave",E176="Holiday"),8,E176="","",OR(E176="Absent",E176="Rest Day",E176="Sick Leave Without Pay",E176="Vacation Leave Without Pay"),0)</f>
        <v/>
      </c>
      <c r="H176">
        <v>0</v>
      </c>
      <c r="I176">
        <v>0</v>
      </c>
      <c r="J176">
        <v>0</v>
      </c>
      <c r="K176" s="40" t="str">
        <f t="shared" si="10"/>
        <v>7</v>
      </c>
      <c r="M176" cm="1">
        <f t="array" ref="M176">_xlfn.IFS(
OR(E176="Absent",
   E176="Sick Leave Without Pay",
   E176="Vacation Leave Without Pay",
   E176="Rest Day"), 0,
OR(E176="Approved Sick Leave",
   E176="Approved Vacation Leave"), 1,
D176="Regular Non-Working Holiday",
    IF(E176="Worked",
        IF(F176="Yes",2.6,2),
        1),
D176="Regular Working Holiday",
    IF(E176="Worked",
        IF(F176="Yes",2.6,2),
        1),
D176="Special Non-Working Holiday",
    IF(E176="Worked",
        IF(F176="Yes",1.5,1.3),
        0),
D176="Special Working Holiday",
    1,
D176="Regular",
    IF(F176="Yes",
        IF(E176="Worked",1.3,0),
        IF(E176="Worked",1,0)
    )
)</f>
        <v>0</v>
      </c>
      <c r="N176" cm="1">
        <f t="array" ref="N176">_xlfn.IFS(
F176="No",
    _xlfn.IFS(
        D176="Regular", 1.25,
        OR(D176="Special Working Holiday", D176="Special Non-Working Holiday"), 1.3*1.3,
        OR(D176="Regular Working Holiday", D176="Regular Non-Working Holiday"), 2*1.3
    ),
F176="Yes",
    _xlfn.IFS(
        D176="Regular", 1.3*1.3,
        OR(D176="Special Working Holiday", D176="Special Non-Working Holiday"), 1.5*1.3,
        OR(D176="Regular Working Holiday", D176="Regular Non-Working Holiday"), 2.6*1.3
    )
)</f>
        <v>1.25</v>
      </c>
      <c r="O176" s="9" t="str">
        <f t="shared" si="8"/>
        <v/>
      </c>
      <c r="P176" t="str" cm="1">
        <f t="array" ref="P176">_xlfn.IFS(
  OR(DAY(B176)=5, DAY(B176)=20), "Cut-off", OR(DAY(B176)=6, DAY(B176)=21), "Start",
  OR(
     DAY(B176)=15,
     DAY(B176)=30, AND(MONTH(B176)=2,DAY(B176)=DAY(EOMONTH(B176,0)))
  ), "Payday",
  TRUE, ""
)</f>
        <v/>
      </c>
    </row>
    <row r="177" spans="1:16" x14ac:dyDescent="0.25">
      <c r="A177" s="49"/>
      <c r="B177" s="38">
        <v>46245</v>
      </c>
      <c r="C177" s="38" t="s">
        <v>14</v>
      </c>
      <c r="D177" t="str">
        <f>_xlfn.XLOOKUP(B177,'Holidays 2026'!$A$2:$A$27,'Holidays 2026'!$G$2:$G$27,"Regular",0,1)</f>
        <v>Regular</v>
      </c>
      <c r="F177" t="str">
        <f t="shared" si="9"/>
        <v>No</v>
      </c>
      <c r="G177" t="str" cm="1">
        <f t="array" ref="G177">_xlfn.IFS(OR(E177="Worked",E177="Approved Sick Leave",E177="Approved Vacation Leave",E177="Holiday"),8,E177="","",OR(E177="Absent",E177="Rest Day",E177="Sick Leave Without Pay",E177="Vacation Leave Without Pay"),0)</f>
        <v/>
      </c>
      <c r="H177">
        <v>0</v>
      </c>
      <c r="I177">
        <v>0</v>
      </c>
      <c r="J177">
        <v>0</v>
      </c>
      <c r="K177" s="40" t="str">
        <f t="shared" si="10"/>
        <v>7</v>
      </c>
      <c r="M177" cm="1">
        <f t="array" ref="M177">_xlfn.IFS(
OR(E177="Absent",
   E177="Sick Leave Without Pay",
   E177="Vacation Leave Without Pay",
   E177="Rest Day"), 0,
OR(E177="Approved Sick Leave",
   E177="Approved Vacation Leave"), 1,
D177="Regular Non-Working Holiday",
    IF(E177="Worked",
        IF(F177="Yes",2.6,2),
        1),
D177="Regular Working Holiday",
    IF(E177="Worked",
        IF(F177="Yes",2.6,2),
        1),
D177="Special Non-Working Holiday",
    IF(E177="Worked",
        IF(F177="Yes",1.5,1.3),
        0),
D177="Special Working Holiday",
    1,
D177="Regular",
    IF(F177="Yes",
        IF(E177="Worked",1.3,0),
        IF(E177="Worked",1,0)
    )
)</f>
        <v>0</v>
      </c>
      <c r="N177" cm="1">
        <f t="array" ref="N177">_xlfn.IFS(
F177="No",
    _xlfn.IFS(
        D177="Regular", 1.25,
        OR(D177="Special Working Holiday", D177="Special Non-Working Holiday"), 1.3*1.3,
        OR(D177="Regular Working Holiday", D177="Regular Non-Working Holiday"), 2*1.3
    ),
F177="Yes",
    _xlfn.IFS(
        D177="Regular", 1.3*1.3,
        OR(D177="Special Working Holiday", D177="Special Non-Working Holiday"), 1.5*1.3,
        OR(D177="Regular Working Holiday", D177="Regular Non-Working Holiday"), 2.6*1.3
    )
)</f>
        <v>1.25</v>
      </c>
      <c r="O177" s="9" t="str">
        <f t="shared" si="8"/>
        <v/>
      </c>
      <c r="P177" t="str" cm="1">
        <f t="array" ref="P177">_xlfn.IFS(
  OR(DAY(B177)=5, DAY(B177)=20), "Cut-off", OR(DAY(B177)=6, DAY(B177)=21), "Start",
  OR(
     DAY(B177)=15,
     DAY(B177)=30, AND(MONTH(B177)=2,DAY(B177)=DAY(EOMONTH(B177,0)))
  ), "Payday",
  TRUE, ""
)</f>
        <v/>
      </c>
    </row>
    <row r="178" spans="1:16" x14ac:dyDescent="0.25">
      <c r="A178" s="49"/>
      <c r="B178" s="38">
        <v>46246</v>
      </c>
      <c r="C178" s="38" t="s">
        <v>14</v>
      </c>
      <c r="D178" t="str">
        <f>_xlfn.XLOOKUP(B178,'Holidays 2026'!$A$2:$A$27,'Holidays 2026'!$G$2:$G$27,"Regular",0,1)</f>
        <v>Regular</v>
      </c>
      <c r="F178" t="str">
        <f t="shared" si="9"/>
        <v>No</v>
      </c>
      <c r="G178" t="str" cm="1">
        <f t="array" ref="G178">_xlfn.IFS(OR(E178="Worked",E178="Approved Sick Leave",E178="Approved Vacation Leave",E178="Holiday"),8,E178="","",OR(E178="Absent",E178="Rest Day",E178="Sick Leave Without Pay",E178="Vacation Leave Without Pay"),0)</f>
        <v/>
      </c>
      <c r="H178">
        <v>0</v>
      </c>
      <c r="I178">
        <v>0</v>
      </c>
      <c r="J178">
        <v>0</v>
      </c>
      <c r="K178" s="40" t="str">
        <f t="shared" si="10"/>
        <v>7</v>
      </c>
      <c r="M178" cm="1">
        <f t="array" ref="M178">_xlfn.IFS(
OR(E178="Absent",
   E178="Sick Leave Without Pay",
   E178="Vacation Leave Without Pay",
   E178="Rest Day"), 0,
OR(E178="Approved Sick Leave",
   E178="Approved Vacation Leave"), 1,
D178="Regular Non-Working Holiday",
    IF(E178="Worked",
        IF(F178="Yes",2.6,2),
        1),
D178="Regular Working Holiday",
    IF(E178="Worked",
        IF(F178="Yes",2.6,2),
        1),
D178="Special Non-Working Holiday",
    IF(E178="Worked",
        IF(F178="Yes",1.5,1.3),
        0),
D178="Special Working Holiday",
    1,
D178="Regular",
    IF(F178="Yes",
        IF(E178="Worked",1.3,0),
        IF(E178="Worked",1,0)
    )
)</f>
        <v>0</v>
      </c>
      <c r="N178" cm="1">
        <f t="array" ref="N178">_xlfn.IFS(
F178="No",
    _xlfn.IFS(
        D178="Regular", 1.25,
        OR(D178="Special Working Holiday", D178="Special Non-Working Holiday"), 1.3*1.3,
        OR(D178="Regular Working Holiday", D178="Regular Non-Working Holiday"), 2*1.3
    ),
F178="Yes",
    _xlfn.IFS(
        D178="Regular", 1.3*1.3,
        OR(D178="Special Working Holiday", D178="Special Non-Working Holiday"), 1.5*1.3,
        OR(D178="Regular Working Holiday", D178="Regular Non-Working Holiday"), 2.6*1.3
    )
)</f>
        <v>1.25</v>
      </c>
      <c r="O178" s="9" t="str">
        <f t="shared" si="8"/>
        <v/>
      </c>
      <c r="P178" t="str" cm="1">
        <f t="array" ref="P178">_xlfn.IFS(
  OR(DAY(B178)=5, DAY(B178)=20), "Cut-off", OR(DAY(B178)=6, DAY(B178)=21), "Start",
  OR(
     DAY(B178)=15,
     DAY(B178)=30, AND(MONTH(B178)=2,DAY(B178)=DAY(EOMONTH(B178,0)))
  ), "Payday",
  TRUE, ""
)</f>
        <v/>
      </c>
    </row>
    <row r="179" spans="1:16" x14ac:dyDescent="0.25">
      <c r="A179" s="49"/>
      <c r="B179" s="38">
        <v>46247</v>
      </c>
      <c r="C179" s="38" t="s">
        <v>14</v>
      </c>
      <c r="D179" t="str">
        <f>_xlfn.XLOOKUP(B179,'Holidays 2026'!$A$2:$A$27,'Holidays 2026'!$G$2:$G$27,"Regular",0,1)</f>
        <v>Regular</v>
      </c>
      <c r="F179" t="str">
        <f t="shared" si="9"/>
        <v>No</v>
      </c>
      <c r="G179" t="str" cm="1">
        <f t="array" ref="G179">_xlfn.IFS(OR(E179="Worked",E179="Approved Sick Leave",E179="Approved Vacation Leave",E179="Holiday"),8,E179="","",OR(E179="Absent",E179="Rest Day",E179="Sick Leave Without Pay",E179="Vacation Leave Without Pay"),0)</f>
        <v/>
      </c>
      <c r="H179">
        <v>0</v>
      </c>
      <c r="I179">
        <v>0</v>
      </c>
      <c r="J179">
        <v>0</v>
      </c>
      <c r="K179" s="40" t="str">
        <f t="shared" si="10"/>
        <v>7</v>
      </c>
      <c r="M179" cm="1">
        <f t="array" ref="M179">_xlfn.IFS(
OR(E179="Absent",
   E179="Sick Leave Without Pay",
   E179="Vacation Leave Without Pay",
   E179="Rest Day"), 0,
OR(E179="Approved Sick Leave",
   E179="Approved Vacation Leave"), 1,
D179="Regular Non-Working Holiday",
    IF(E179="Worked",
        IF(F179="Yes",2.6,2),
        1),
D179="Regular Working Holiday",
    IF(E179="Worked",
        IF(F179="Yes",2.6,2),
        1),
D179="Special Non-Working Holiday",
    IF(E179="Worked",
        IF(F179="Yes",1.5,1.3),
        0),
D179="Special Working Holiday",
    1,
D179="Regular",
    IF(F179="Yes",
        IF(E179="Worked",1.3,0),
        IF(E179="Worked",1,0)
    )
)</f>
        <v>0</v>
      </c>
      <c r="N179" cm="1">
        <f t="array" ref="N179">_xlfn.IFS(
F179="No",
    _xlfn.IFS(
        D179="Regular", 1.25,
        OR(D179="Special Working Holiday", D179="Special Non-Working Holiday"), 1.3*1.3,
        OR(D179="Regular Working Holiday", D179="Regular Non-Working Holiday"), 2*1.3
    ),
F179="Yes",
    _xlfn.IFS(
        D179="Regular", 1.3*1.3,
        OR(D179="Special Working Holiday", D179="Special Non-Working Holiday"), 1.5*1.3,
        OR(D179="Regular Working Holiday", D179="Regular Non-Working Holiday"), 2.6*1.3
    )
)</f>
        <v>1.25</v>
      </c>
      <c r="O179" s="9" t="str">
        <f t="shared" si="8"/>
        <v/>
      </c>
      <c r="P179" t="str" cm="1">
        <f t="array" ref="P179">_xlfn.IFS(
  OR(DAY(B179)=5, DAY(B179)=20), "Cut-off", OR(DAY(B179)=6, DAY(B179)=21), "Start",
  OR(
     DAY(B179)=15,
     DAY(B179)=30, AND(MONTH(B179)=2,DAY(B179)=DAY(EOMONTH(B179,0)))
  ), "Payday",
  TRUE, ""
)</f>
        <v/>
      </c>
    </row>
    <row r="180" spans="1:16" x14ac:dyDescent="0.25">
      <c r="A180" s="49"/>
      <c r="B180" s="38">
        <v>46248</v>
      </c>
      <c r="C180" s="38" t="s">
        <v>14</v>
      </c>
      <c r="D180" t="str">
        <f>_xlfn.XLOOKUP(B180,'Holidays 2026'!$A$2:$A$27,'Holidays 2026'!$G$2:$G$27,"Regular",0,1)</f>
        <v>Regular</v>
      </c>
      <c r="F180" t="str">
        <f t="shared" si="9"/>
        <v>No</v>
      </c>
      <c r="G180" t="str" cm="1">
        <f t="array" ref="G180">_xlfn.IFS(OR(E180="Worked",E180="Approved Sick Leave",E180="Approved Vacation Leave",E180="Holiday"),8,E180="","",OR(E180="Absent",E180="Rest Day",E180="Sick Leave Without Pay",E180="Vacation Leave Without Pay"),0)</f>
        <v/>
      </c>
      <c r="H180">
        <v>0</v>
      </c>
      <c r="I180">
        <v>0</v>
      </c>
      <c r="J180">
        <v>0</v>
      </c>
      <c r="K180" s="40" t="str">
        <f t="shared" si="10"/>
        <v>7</v>
      </c>
      <c r="M180" cm="1">
        <f t="array" ref="M180">_xlfn.IFS(
OR(E180="Absent",
   E180="Sick Leave Without Pay",
   E180="Vacation Leave Without Pay",
   E180="Rest Day"), 0,
OR(E180="Approved Sick Leave",
   E180="Approved Vacation Leave"), 1,
D180="Regular Non-Working Holiday",
    IF(E180="Worked",
        IF(F180="Yes",2.6,2),
        1),
D180="Regular Working Holiday",
    IF(E180="Worked",
        IF(F180="Yes",2.6,2),
        1),
D180="Special Non-Working Holiday",
    IF(E180="Worked",
        IF(F180="Yes",1.5,1.3),
        0),
D180="Special Working Holiday",
    1,
D180="Regular",
    IF(F180="Yes",
        IF(E180="Worked",1.3,0),
        IF(E180="Worked",1,0)
    )
)</f>
        <v>0</v>
      </c>
      <c r="N180" cm="1">
        <f t="array" ref="N180">_xlfn.IFS(
F180="No",
    _xlfn.IFS(
        D180="Regular", 1.25,
        OR(D180="Special Working Holiday", D180="Special Non-Working Holiday"), 1.3*1.3,
        OR(D180="Regular Working Holiday", D180="Regular Non-Working Holiday"), 2*1.3
    ),
F180="Yes",
    _xlfn.IFS(
        D180="Regular", 1.3*1.3,
        OR(D180="Special Working Holiday", D180="Special Non-Working Holiday"), 1.5*1.3,
        OR(D180="Regular Working Holiday", D180="Regular Non-Working Holiday"), 2.6*1.3
    )
)</f>
        <v>1.25</v>
      </c>
      <c r="O180" s="9" t="str">
        <f t="shared" si="8"/>
        <v/>
      </c>
      <c r="P180" t="str" cm="1">
        <f t="array" ref="P180">_xlfn.IFS(
  OR(DAY(B180)=5, DAY(B180)=20), "Cut-off", OR(DAY(B180)=6, DAY(B180)=21), "Start",
  OR(
     DAY(B180)=15,
     DAY(B180)=30, AND(MONTH(B180)=2,DAY(B180)=DAY(EOMONTH(B180,0)))
  ), "Payday",
  TRUE, ""
)</f>
        <v/>
      </c>
    </row>
    <row r="181" spans="1:16" x14ac:dyDescent="0.25">
      <c r="A181" s="49"/>
      <c r="B181" s="38">
        <v>46249</v>
      </c>
      <c r="C181" s="38" t="s">
        <v>14</v>
      </c>
      <c r="D181" t="str">
        <f>_xlfn.XLOOKUP(B181,'Holidays 2026'!$A$2:$A$27,'Holidays 2026'!$G$2:$G$27,"Regular",0,1)</f>
        <v>Regular</v>
      </c>
      <c r="F181" t="str">
        <f t="shared" si="9"/>
        <v>Yes</v>
      </c>
      <c r="G181" t="str" cm="1">
        <f t="array" ref="G181">_xlfn.IFS(OR(E181="Worked",E181="Approved Sick Leave",E181="Approved Vacation Leave",E181="Holiday"),8,E181="","",OR(E181="Absent",E181="Rest Day",E181="Sick Leave Without Pay",E181="Vacation Leave Without Pay"),0)</f>
        <v/>
      </c>
      <c r="H181">
        <v>0</v>
      </c>
      <c r="I181">
        <v>0</v>
      </c>
      <c r="J181">
        <v>0</v>
      </c>
      <c r="K181" s="40" t="str">
        <f t="shared" si="10"/>
        <v>7</v>
      </c>
      <c r="M181" cm="1">
        <f t="array" ref="M181">_xlfn.IFS(
OR(E181="Absent",
   E181="Sick Leave Without Pay",
   E181="Vacation Leave Without Pay",
   E181="Rest Day"), 0,
OR(E181="Approved Sick Leave",
   E181="Approved Vacation Leave"), 1,
D181="Regular Non-Working Holiday",
    IF(E181="Worked",
        IF(F181="Yes",2.6,2),
        1),
D181="Regular Working Holiday",
    IF(E181="Worked",
        IF(F181="Yes",2.6,2),
        1),
D181="Special Non-Working Holiday",
    IF(E181="Worked",
        IF(F181="Yes",1.5,1.3),
        0),
D181="Special Working Holiday",
    1,
D181="Regular",
    IF(F181="Yes",
        IF(E181="Worked",1.3,0),
        IF(E181="Worked",1,0)
    )
)</f>
        <v>0</v>
      </c>
      <c r="N181" cm="1">
        <f t="array" ref="N181">_xlfn.IFS(
F181="No",
    _xlfn.IFS(
        D181="Regular", 1.25,
        OR(D181="Special Working Holiday", D181="Special Non-Working Holiday"), 1.3*1.3,
        OR(D181="Regular Working Holiday", D181="Regular Non-Working Holiday"), 2*1.3
    ),
F181="Yes",
    _xlfn.IFS(
        D181="Regular", 1.3*1.3,
        OR(D181="Special Working Holiday", D181="Special Non-Working Holiday"), 1.5*1.3,
        OR(D181="Regular Working Holiday", D181="Regular Non-Working Holiday"), 2.6*1.3
    )
)</f>
        <v>1.6900000000000002</v>
      </c>
      <c r="O181" s="9" t="str">
        <f t="shared" si="8"/>
        <v/>
      </c>
      <c r="P181" t="str" cm="1">
        <f t="array" ref="P181">_xlfn.IFS(
  OR(DAY(B181)=5, DAY(B181)=20), "Cut-off", OR(DAY(B181)=6, DAY(B181)=21), "Start",
  OR(
     DAY(B181)=15,
     DAY(B181)=30, AND(MONTH(B181)=2,DAY(B181)=DAY(EOMONTH(B181,0)))
  ), "Payday",
  TRUE, ""
)</f>
        <v>Payday</v>
      </c>
    </row>
    <row r="182" spans="1:16" x14ac:dyDescent="0.25">
      <c r="A182" s="49"/>
      <c r="B182" s="38">
        <v>46250</v>
      </c>
      <c r="C182" s="38" t="s">
        <v>14</v>
      </c>
      <c r="D182" t="str">
        <f>_xlfn.XLOOKUP(B182,'Holidays 2026'!$A$2:$A$27,'Holidays 2026'!$G$2:$G$27,"Regular",0,1)</f>
        <v>Regular</v>
      </c>
      <c r="F182" t="str">
        <f t="shared" si="9"/>
        <v>Yes</v>
      </c>
      <c r="G182" t="str" cm="1">
        <f t="array" ref="G182">_xlfn.IFS(OR(E182="Worked",E182="Approved Sick Leave",E182="Approved Vacation Leave",E182="Holiday"),8,E182="","",OR(E182="Absent",E182="Rest Day",E182="Sick Leave Without Pay",E182="Vacation Leave Without Pay"),0)</f>
        <v/>
      </c>
      <c r="H182">
        <v>0</v>
      </c>
      <c r="I182">
        <v>0</v>
      </c>
      <c r="J182">
        <v>0</v>
      </c>
      <c r="K182" s="40" t="str">
        <f t="shared" si="10"/>
        <v>7</v>
      </c>
      <c r="M182" cm="1">
        <f t="array" ref="M182">_xlfn.IFS(
OR(E182="Absent",
   E182="Sick Leave Without Pay",
   E182="Vacation Leave Without Pay",
   E182="Rest Day"), 0,
OR(E182="Approved Sick Leave",
   E182="Approved Vacation Leave"), 1,
D182="Regular Non-Working Holiday",
    IF(E182="Worked",
        IF(F182="Yes",2.6,2),
        1),
D182="Regular Working Holiday",
    IF(E182="Worked",
        IF(F182="Yes",2.6,2),
        1),
D182="Special Non-Working Holiday",
    IF(E182="Worked",
        IF(F182="Yes",1.5,1.3),
        0),
D182="Special Working Holiday",
    1,
D182="Regular",
    IF(F182="Yes",
        IF(E182="Worked",1.3,0),
        IF(E182="Worked",1,0)
    )
)</f>
        <v>0</v>
      </c>
      <c r="N182" cm="1">
        <f t="array" ref="N182">_xlfn.IFS(
F182="No",
    _xlfn.IFS(
        D182="Regular", 1.25,
        OR(D182="Special Working Holiday", D182="Special Non-Working Holiday"), 1.3*1.3,
        OR(D182="Regular Working Holiday", D182="Regular Non-Working Holiday"), 2*1.3
    ),
F182="Yes",
    _xlfn.IFS(
        D182="Regular", 1.3*1.3,
        OR(D182="Special Working Holiday", D182="Special Non-Working Holiday"), 1.5*1.3,
        OR(D182="Regular Working Holiday", D182="Regular Non-Working Holiday"), 2.6*1.3
    )
)</f>
        <v>1.6900000000000002</v>
      </c>
      <c r="O182" s="9" t="str">
        <f t="shared" si="8"/>
        <v/>
      </c>
      <c r="P182" t="str" cm="1">
        <f t="array" ref="P182">_xlfn.IFS(
  OR(DAY(B182)=5, DAY(B182)=20), "Cut-off", OR(DAY(B182)=6, DAY(B182)=21), "Start",
  OR(
     DAY(B182)=15,
     DAY(B182)=30, AND(MONTH(B182)=2,DAY(B182)=DAY(EOMONTH(B182,0)))
  ), "Payday",
  TRUE, ""
)</f>
        <v/>
      </c>
    </row>
    <row r="183" spans="1:16" x14ac:dyDescent="0.25">
      <c r="A183" s="49"/>
      <c r="B183" s="38">
        <v>46251</v>
      </c>
      <c r="C183" s="38" t="s">
        <v>14</v>
      </c>
      <c r="D183" t="str">
        <f>_xlfn.XLOOKUP(B183,'Holidays 2026'!$A$2:$A$27,'Holidays 2026'!$G$2:$G$27,"Regular",0,1)</f>
        <v>Regular</v>
      </c>
      <c r="F183" t="str">
        <f t="shared" si="9"/>
        <v>No</v>
      </c>
      <c r="G183" t="str" cm="1">
        <f t="array" ref="G183">_xlfn.IFS(OR(E183="Worked",E183="Approved Sick Leave",E183="Approved Vacation Leave",E183="Holiday"),8,E183="","",OR(E183="Absent",E183="Rest Day",E183="Sick Leave Without Pay",E183="Vacation Leave Without Pay"),0)</f>
        <v/>
      </c>
      <c r="H183">
        <v>0</v>
      </c>
      <c r="I183">
        <v>0</v>
      </c>
      <c r="J183">
        <v>0</v>
      </c>
      <c r="K183" s="40" t="str">
        <f t="shared" si="10"/>
        <v>7</v>
      </c>
      <c r="M183" cm="1">
        <f t="array" ref="M183">_xlfn.IFS(
OR(E183="Absent",
   E183="Sick Leave Without Pay",
   E183="Vacation Leave Without Pay",
   E183="Rest Day"), 0,
OR(E183="Approved Sick Leave",
   E183="Approved Vacation Leave"), 1,
D183="Regular Non-Working Holiday",
    IF(E183="Worked",
        IF(F183="Yes",2.6,2),
        1),
D183="Regular Working Holiday",
    IF(E183="Worked",
        IF(F183="Yes",2.6,2),
        1),
D183="Special Non-Working Holiday",
    IF(E183="Worked",
        IF(F183="Yes",1.5,1.3),
        0),
D183="Special Working Holiday",
    1,
D183="Regular",
    IF(F183="Yes",
        IF(E183="Worked",1.3,0),
        IF(E183="Worked",1,0)
    )
)</f>
        <v>0</v>
      </c>
      <c r="N183" cm="1">
        <f t="array" ref="N183">_xlfn.IFS(
F183="No",
    _xlfn.IFS(
        D183="Regular", 1.25,
        OR(D183="Special Working Holiday", D183="Special Non-Working Holiday"), 1.3*1.3,
        OR(D183="Regular Working Holiday", D183="Regular Non-Working Holiday"), 2*1.3
    ),
F183="Yes",
    _xlfn.IFS(
        D183="Regular", 1.3*1.3,
        OR(D183="Special Working Holiday", D183="Special Non-Working Holiday"), 1.5*1.3,
        OR(D183="Regular Working Holiday", D183="Regular Non-Working Holiday"), 2.6*1.3
    )
)</f>
        <v>1.25</v>
      </c>
      <c r="O183" s="9" t="str">
        <f t="shared" si="8"/>
        <v/>
      </c>
      <c r="P183" t="str" cm="1">
        <f t="array" ref="P183">_xlfn.IFS(
  OR(DAY(B183)=5, DAY(B183)=20), "Cut-off", OR(DAY(B183)=6, DAY(B183)=21), "Start",
  OR(
     DAY(B183)=15,
     DAY(B183)=30, AND(MONTH(B183)=2,DAY(B183)=DAY(EOMONTH(B183,0)))
  ), "Payday",
  TRUE, ""
)</f>
        <v/>
      </c>
    </row>
    <row r="184" spans="1:16" x14ac:dyDescent="0.25">
      <c r="A184" s="49"/>
      <c r="B184" s="38">
        <v>46252</v>
      </c>
      <c r="C184" s="38" t="s">
        <v>14</v>
      </c>
      <c r="D184" t="str">
        <f>_xlfn.XLOOKUP(B184,'Holidays 2026'!$A$2:$A$27,'Holidays 2026'!$G$2:$G$27,"Regular",0,1)</f>
        <v>Regular</v>
      </c>
      <c r="F184" t="str">
        <f t="shared" si="9"/>
        <v>No</v>
      </c>
      <c r="G184" t="str" cm="1">
        <f t="array" ref="G184">_xlfn.IFS(OR(E184="Worked",E184="Approved Sick Leave",E184="Approved Vacation Leave",E184="Holiday"),8,E184="","",OR(E184="Absent",E184="Rest Day",E184="Sick Leave Without Pay",E184="Vacation Leave Without Pay"),0)</f>
        <v/>
      </c>
      <c r="H184">
        <v>0</v>
      </c>
      <c r="I184">
        <v>0</v>
      </c>
      <c r="J184">
        <v>0</v>
      </c>
      <c r="K184" s="40" t="str">
        <f t="shared" si="10"/>
        <v>7</v>
      </c>
      <c r="M184" cm="1">
        <f t="array" ref="M184">_xlfn.IFS(
OR(E184="Absent",
   E184="Sick Leave Without Pay",
   E184="Vacation Leave Without Pay",
   E184="Rest Day"), 0,
OR(E184="Approved Sick Leave",
   E184="Approved Vacation Leave"), 1,
D184="Regular Non-Working Holiday",
    IF(E184="Worked",
        IF(F184="Yes",2.6,2),
        1),
D184="Regular Working Holiday",
    IF(E184="Worked",
        IF(F184="Yes",2.6,2),
        1),
D184="Special Non-Working Holiday",
    IF(E184="Worked",
        IF(F184="Yes",1.5,1.3),
        0),
D184="Special Working Holiday",
    1,
D184="Regular",
    IF(F184="Yes",
        IF(E184="Worked",1.3,0),
        IF(E184="Worked",1,0)
    )
)</f>
        <v>0</v>
      </c>
      <c r="N184" cm="1">
        <f t="array" ref="N184">_xlfn.IFS(
F184="No",
    _xlfn.IFS(
        D184="Regular", 1.25,
        OR(D184="Special Working Holiday", D184="Special Non-Working Holiday"), 1.3*1.3,
        OR(D184="Regular Working Holiday", D184="Regular Non-Working Holiday"), 2*1.3
    ),
F184="Yes",
    _xlfn.IFS(
        D184="Regular", 1.3*1.3,
        OR(D184="Special Working Holiday", D184="Special Non-Working Holiday"), 1.5*1.3,
        OR(D184="Regular Working Holiday", D184="Regular Non-Working Holiday"), 2.6*1.3
    )
)</f>
        <v>1.25</v>
      </c>
      <c r="O184" s="9" t="str">
        <f t="shared" si="8"/>
        <v/>
      </c>
      <c r="P184" t="str" cm="1">
        <f t="array" ref="P184">_xlfn.IFS(
  OR(DAY(B184)=5, DAY(B184)=20), "Cut-off", OR(DAY(B184)=6, DAY(B184)=21), "Start",
  OR(
     DAY(B184)=15,
     DAY(B184)=30, AND(MONTH(B184)=2,DAY(B184)=DAY(EOMONTH(B184,0)))
  ), "Payday",
  TRUE, ""
)</f>
        <v/>
      </c>
    </row>
    <row r="185" spans="1:16" x14ac:dyDescent="0.25">
      <c r="A185" s="49"/>
      <c r="B185" s="38">
        <v>46253</v>
      </c>
      <c r="C185" s="38" t="s">
        <v>14</v>
      </c>
      <c r="D185" t="str">
        <f>_xlfn.XLOOKUP(B185,'Holidays 2026'!$A$2:$A$27,'Holidays 2026'!$G$2:$G$27,"Regular",0,1)</f>
        <v>Special Working Holiday</v>
      </c>
      <c r="F185" t="str">
        <f t="shared" si="9"/>
        <v>No</v>
      </c>
      <c r="G185" t="str" cm="1">
        <f t="array" ref="G185">_xlfn.IFS(OR(E185="Worked",E185="Approved Sick Leave",E185="Approved Vacation Leave",E185="Holiday"),8,E185="","",OR(E185="Absent",E185="Rest Day",E185="Sick Leave Without Pay",E185="Vacation Leave Without Pay"),0)</f>
        <v/>
      </c>
      <c r="H185">
        <v>0</v>
      </c>
      <c r="I185">
        <v>0</v>
      </c>
      <c r="J185">
        <v>0</v>
      </c>
      <c r="K185" s="40" t="str">
        <f t="shared" si="10"/>
        <v>7</v>
      </c>
      <c r="M185" cm="1">
        <f t="array" ref="M185">_xlfn.IFS(
OR(E185="Absent",
   E185="Sick Leave Without Pay",
   E185="Vacation Leave Without Pay",
   E185="Rest Day"), 0,
OR(E185="Approved Sick Leave",
   E185="Approved Vacation Leave"), 1,
D185="Regular Non-Working Holiday",
    IF(E185="Worked",
        IF(F185="Yes",2.6,2),
        1),
D185="Regular Working Holiday",
    IF(E185="Worked",
        IF(F185="Yes",2.6,2),
        1),
D185="Special Non-Working Holiday",
    IF(E185="Worked",
        IF(F185="Yes",1.5,1.3),
        0),
D185="Special Working Holiday",
    1,
D185="Regular",
    IF(F185="Yes",
        IF(E185="Worked",1.3,0),
        IF(E185="Worked",1,0)
    )
)</f>
        <v>1</v>
      </c>
      <c r="N185" cm="1">
        <f t="array" ref="N185">_xlfn.IFS(
F185="No",
    _xlfn.IFS(
        D185="Regular", 1.25,
        OR(D185="Special Working Holiday", D185="Special Non-Working Holiday"), 1.3*1.3,
        OR(D185="Regular Working Holiday", D185="Regular Non-Working Holiday"), 2*1.3
    ),
F185="Yes",
    _xlfn.IFS(
        D185="Regular", 1.3*1.3,
        OR(D185="Special Working Holiday", D185="Special Non-Working Holiday"), 1.5*1.3,
        OR(D185="Regular Working Holiday", D185="Regular Non-Working Holiday"), 2.6*1.3
    )
)</f>
        <v>1.6900000000000002</v>
      </c>
      <c r="O185" s="9" t="str">
        <f t="shared" si="8"/>
        <v/>
      </c>
      <c r="P185" t="str" cm="1">
        <f t="array" ref="P185">_xlfn.IFS(
  OR(DAY(B185)=5, DAY(B185)=20), "Cut-off", OR(DAY(B185)=6, DAY(B185)=21), "Start",
  OR(
     DAY(B185)=15,
     DAY(B185)=30, AND(MONTH(B185)=2,DAY(B185)=DAY(EOMONTH(B185,0)))
  ), "Payday",
  TRUE, ""
)</f>
        <v/>
      </c>
    </row>
    <row r="186" spans="1:16" x14ac:dyDescent="0.25">
      <c r="A186" s="49"/>
      <c r="B186" s="38">
        <v>46254</v>
      </c>
      <c r="C186" s="38" t="s">
        <v>14</v>
      </c>
      <c r="D186" t="str">
        <f>_xlfn.XLOOKUP(B186,'Holidays 2026'!$A$2:$A$27,'Holidays 2026'!$G$2:$G$27,"Regular",0,1)</f>
        <v>Regular</v>
      </c>
      <c r="F186" t="str">
        <f t="shared" si="9"/>
        <v>No</v>
      </c>
      <c r="G186" t="str" cm="1">
        <f t="array" ref="G186">_xlfn.IFS(OR(E186="Worked",E186="Approved Sick Leave",E186="Approved Vacation Leave",E186="Holiday"),8,E186="","",OR(E186="Absent",E186="Rest Day",E186="Sick Leave Without Pay",E186="Vacation Leave Without Pay"),0)</f>
        <v/>
      </c>
      <c r="H186">
        <v>0</v>
      </c>
      <c r="I186">
        <v>0</v>
      </c>
      <c r="J186">
        <v>0</v>
      </c>
      <c r="K186" s="40" t="str">
        <f t="shared" si="10"/>
        <v>7</v>
      </c>
      <c r="M186" cm="1">
        <f t="array" ref="M186">_xlfn.IFS(
OR(E186="Absent",
   E186="Sick Leave Without Pay",
   E186="Vacation Leave Without Pay",
   E186="Rest Day"), 0,
OR(E186="Approved Sick Leave",
   E186="Approved Vacation Leave"), 1,
D186="Regular Non-Working Holiday",
    IF(E186="Worked",
        IF(F186="Yes",2.6,2),
        1),
D186="Regular Working Holiday",
    IF(E186="Worked",
        IF(F186="Yes",2.6,2),
        1),
D186="Special Non-Working Holiday",
    IF(E186="Worked",
        IF(F186="Yes",1.5,1.3),
        0),
D186="Special Working Holiday",
    1,
D186="Regular",
    IF(F186="Yes",
        IF(E186="Worked",1.3,0),
        IF(E186="Worked",1,0)
    )
)</f>
        <v>0</v>
      </c>
      <c r="N186" cm="1">
        <f t="array" ref="N186">_xlfn.IFS(
F186="No",
    _xlfn.IFS(
        D186="Regular", 1.25,
        OR(D186="Special Working Holiday", D186="Special Non-Working Holiday"), 1.3*1.3,
        OR(D186="Regular Working Holiday", D186="Regular Non-Working Holiday"), 2*1.3
    ),
F186="Yes",
    _xlfn.IFS(
        D186="Regular", 1.3*1.3,
        OR(D186="Special Working Holiday", D186="Special Non-Working Holiday"), 1.5*1.3,
        OR(D186="Regular Working Holiday", D186="Regular Non-Working Holiday"), 2.6*1.3
    )
)</f>
        <v>1.25</v>
      </c>
      <c r="O186" s="9" t="str">
        <f t="shared" si="8"/>
        <v/>
      </c>
      <c r="P186" t="str" cm="1">
        <f t="array" ref="P186">_xlfn.IFS(
  OR(DAY(B186)=5, DAY(B186)=20), "Cut-off", OR(DAY(B186)=6, DAY(B186)=21), "Start",
  OR(
     DAY(B186)=15,
     DAY(B186)=30, AND(MONTH(B186)=2,DAY(B186)=DAY(EOMONTH(B186,0)))
  ), "Payday",
  TRUE, ""
)</f>
        <v>Cut-off</v>
      </c>
    </row>
    <row r="187" spans="1:16" x14ac:dyDescent="0.25">
      <c r="A187" s="49"/>
      <c r="B187" s="38">
        <v>46255</v>
      </c>
      <c r="C187" s="38" t="s">
        <v>14</v>
      </c>
      <c r="D187" t="str">
        <f>_xlfn.XLOOKUP(B187,'Holidays 2026'!$A$2:$A$27,'Holidays 2026'!$G$2:$G$27,"Regular",0,1)</f>
        <v>Special Working Holiday</v>
      </c>
      <c r="F187" t="str">
        <f t="shared" si="9"/>
        <v>No</v>
      </c>
      <c r="G187" t="str" cm="1">
        <f t="array" ref="G187">_xlfn.IFS(OR(E187="Worked",E187="Approved Sick Leave",E187="Approved Vacation Leave",E187="Holiday"),8,E187="","",OR(E187="Absent",E187="Rest Day",E187="Sick Leave Without Pay",E187="Vacation Leave Without Pay"),0)</f>
        <v/>
      </c>
      <c r="H187">
        <v>0</v>
      </c>
      <c r="I187">
        <v>0</v>
      </c>
      <c r="J187">
        <v>0</v>
      </c>
      <c r="K187" s="40" t="str">
        <f t="shared" si="10"/>
        <v>7</v>
      </c>
      <c r="M187" cm="1">
        <f t="array" ref="M187">_xlfn.IFS(
OR(E187="Absent",
   E187="Sick Leave Without Pay",
   E187="Vacation Leave Without Pay",
   E187="Rest Day"), 0,
OR(E187="Approved Sick Leave",
   E187="Approved Vacation Leave"), 1,
D187="Regular Non-Working Holiday",
    IF(E187="Worked",
        IF(F187="Yes",2.6,2),
        1),
D187="Regular Working Holiday",
    IF(E187="Worked",
        IF(F187="Yes",2.6,2),
        1),
D187="Special Non-Working Holiday",
    IF(E187="Worked",
        IF(F187="Yes",1.5,1.3),
        0),
D187="Special Working Holiday",
    1,
D187="Regular",
    IF(F187="Yes",
        IF(E187="Worked",1.3,0),
        IF(E187="Worked",1,0)
    )
)</f>
        <v>1</v>
      </c>
      <c r="N187" cm="1">
        <f t="array" ref="N187">_xlfn.IFS(
F187="No",
    _xlfn.IFS(
        D187="Regular", 1.25,
        OR(D187="Special Working Holiday", D187="Special Non-Working Holiday"), 1.3*1.3,
        OR(D187="Regular Working Holiday", D187="Regular Non-Working Holiday"), 2*1.3
    ),
F187="Yes",
    _xlfn.IFS(
        D187="Regular", 1.3*1.3,
        OR(D187="Special Working Holiday", D187="Special Non-Working Holiday"), 1.5*1.3,
        OR(D187="Regular Working Holiday", D187="Regular Non-Working Holiday"), 2.6*1.3
    )
)</f>
        <v>1.6900000000000002</v>
      </c>
      <c r="O187" s="9" t="str">
        <f t="shared" si="8"/>
        <v/>
      </c>
      <c r="P187" t="str" cm="1">
        <f t="array" ref="P187">_xlfn.IFS(
  OR(DAY(B187)=5, DAY(B187)=20), "Cut-off", OR(DAY(B187)=6, DAY(B187)=21), "Start",
  OR(
     DAY(B187)=15,
     DAY(B187)=30, AND(MONTH(B187)=2,DAY(B187)=DAY(EOMONTH(B187,0)))
  ), "Payday",
  TRUE, ""
)</f>
        <v>Start</v>
      </c>
    </row>
    <row r="188" spans="1:16" x14ac:dyDescent="0.25">
      <c r="A188" s="49"/>
      <c r="B188" s="38">
        <v>46256</v>
      </c>
      <c r="C188" s="38" t="s">
        <v>14</v>
      </c>
      <c r="D188" t="str">
        <f>_xlfn.XLOOKUP(B188,'Holidays 2026'!$A$2:$A$27,'Holidays 2026'!$G$2:$G$27,"Regular",0,1)</f>
        <v>Regular</v>
      </c>
      <c r="F188" t="str">
        <f t="shared" si="9"/>
        <v>Yes</v>
      </c>
      <c r="G188" t="str" cm="1">
        <f t="array" ref="G188">_xlfn.IFS(OR(E188="Worked",E188="Approved Sick Leave",E188="Approved Vacation Leave",E188="Holiday"),8,E188="","",OR(E188="Absent",E188="Rest Day",E188="Sick Leave Without Pay",E188="Vacation Leave Without Pay"),0)</f>
        <v/>
      </c>
      <c r="H188">
        <v>0</v>
      </c>
      <c r="I188">
        <v>0</v>
      </c>
      <c r="J188">
        <v>0</v>
      </c>
      <c r="K188" s="40" t="str">
        <f t="shared" si="10"/>
        <v>7</v>
      </c>
      <c r="M188" cm="1">
        <f t="array" ref="M188">_xlfn.IFS(
OR(E188="Absent",
   E188="Sick Leave Without Pay",
   E188="Vacation Leave Without Pay",
   E188="Rest Day"), 0,
OR(E188="Approved Sick Leave",
   E188="Approved Vacation Leave"), 1,
D188="Regular Non-Working Holiday",
    IF(E188="Worked",
        IF(F188="Yes",2.6,2),
        1),
D188="Regular Working Holiday",
    IF(E188="Worked",
        IF(F188="Yes",2.6,2),
        1),
D188="Special Non-Working Holiday",
    IF(E188="Worked",
        IF(F188="Yes",1.5,1.3),
        0),
D188="Special Working Holiday",
    1,
D188="Regular",
    IF(F188="Yes",
        IF(E188="Worked",1.3,0),
        IF(E188="Worked",1,0)
    )
)</f>
        <v>0</v>
      </c>
      <c r="N188" cm="1">
        <f t="array" ref="N188">_xlfn.IFS(
F188="No",
    _xlfn.IFS(
        D188="Regular", 1.25,
        OR(D188="Special Working Holiday", D188="Special Non-Working Holiday"), 1.3*1.3,
        OR(D188="Regular Working Holiday", D188="Regular Non-Working Holiday"), 2*1.3
    ),
F188="Yes",
    _xlfn.IFS(
        D188="Regular", 1.3*1.3,
        OR(D188="Special Working Holiday", D188="Special Non-Working Holiday"), 1.5*1.3,
        OR(D188="Regular Working Holiday", D188="Regular Non-Working Holiday"), 2.6*1.3
    )
)</f>
        <v>1.6900000000000002</v>
      </c>
      <c r="O188" s="9" t="str">
        <f t="shared" si="8"/>
        <v/>
      </c>
      <c r="P188" t="str" cm="1">
        <f t="array" ref="P188">_xlfn.IFS(
  OR(DAY(B188)=5, DAY(B188)=20), "Cut-off", OR(DAY(B188)=6, DAY(B188)=21), "Start",
  OR(
     DAY(B188)=15,
     DAY(B188)=30, AND(MONTH(B188)=2,DAY(B188)=DAY(EOMONTH(B188,0)))
  ), "Payday",
  TRUE, ""
)</f>
        <v/>
      </c>
    </row>
    <row r="189" spans="1:16" x14ac:dyDescent="0.25">
      <c r="A189" s="49"/>
      <c r="B189" s="38">
        <v>46257</v>
      </c>
      <c r="C189" s="38" t="s">
        <v>14</v>
      </c>
      <c r="D189" t="str">
        <f>_xlfn.XLOOKUP(B189,'Holidays 2026'!$A$2:$A$27,'Holidays 2026'!$G$2:$G$27,"Regular",0,1)</f>
        <v>Regular</v>
      </c>
      <c r="F189" t="str">
        <f t="shared" si="9"/>
        <v>Yes</v>
      </c>
      <c r="G189" t="str" cm="1">
        <f t="array" ref="G189">_xlfn.IFS(OR(E189="Worked",E189="Approved Sick Leave",E189="Approved Vacation Leave",E189="Holiday"),8,E189="","",OR(E189="Absent",E189="Rest Day",E189="Sick Leave Without Pay",E189="Vacation Leave Without Pay"),0)</f>
        <v/>
      </c>
      <c r="H189">
        <v>0</v>
      </c>
      <c r="I189">
        <v>0</v>
      </c>
      <c r="J189">
        <v>0</v>
      </c>
      <c r="K189" s="40" t="str">
        <f t="shared" si="10"/>
        <v>7</v>
      </c>
      <c r="M189" cm="1">
        <f t="array" ref="M189">_xlfn.IFS(
OR(E189="Absent",
   E189="Sick Leave Without Pay",
   E189="Vacation Leave Without Pay",
   E189="Rest Day"), 0,
OR(E189="Approved Sick Leave",
   E189="Approved Vacation Leave"), 1,
D189="Regular Non-Working Holiday",
    IF(E189="Worked",
        IF(F189="Yes",2.6,2),
        1),
D189="Regular Working Holiday",
    IF(E189="Worked",
        IF(F189="Yes",2.6,2),
        1),
D189="Special Non-Working Holiday",
    IF(E189="Worked",
        IF(F189="Yes",1.5,1.3),
        0),
D189="Special Working Holiday",
    1,
D189="Regular",
    IF(F189="Yes",
        IF(E189="Worked",1.3,0),
        IF(E189="Worked",1,0)
    )
)</f>
        <v>0</v>
      </c>
      <c r="N189" cm="1">
        <f t="array" ref="N189">_xlfn.IFS(
F189="No",
    _xlfn.IFS(
        D189="Regular", 1.25,
        OR(D189="Special Working Holiday", D189="Special Non-Working Holiday"), 1.3*1.3,
        OR(D189="Regular Working Holiday", D189="Regular Non-Working Holiday"), 2*1.3
    ),
F189="Yes",
    _xlfn.IFS(
        D189="Regular", 1.3*1.3,
        OR(D189="Special Working Holiday", D189="Special Non-Working Holiday"), 1.5*1.3,
        OR(D189="Regular Working Holiday", D189="Regular Non-Working Holiday"), 2.6*1.3
    )
)</f>
        <v>1.6900000000000002</v>
      </c>
      <c r="O189" s="9" t="str">
        <f t="shared" si="8"/>
        <v/>
      </c>
      <c r="P189" t="str" cm="1">
        <f t="array" ref="P189">_xlfn.IFS(
  OR(DAY(B189)=5, DAY(B189)=20), "Cut-off", OR(DAY(B189)=6, DAY(B189)=21), "Start",
  OR(
     DAY(B189)=15,
     DAY(B189)=30, AND(MONTH(B189)=2,DAY(B189)=DAY(EOMONTH(B189,0)))
  ), "Payday",
  TRUE, ""
)</f>
        <v/>
      </c>
    </row>
    <row r="190" spans="1:16" x14ac:dyDescent="0.25">
      <c r="A190" s="49"/>
      <c r="B190" s="38">
        <v>46258</v>
      </c>
      <c r="C190" s="38" t="s">
        <v>14</v>
      </c>
      <c r="D190" t="str">
        <f>_xlfn.XLOOKUP(B190,'Holidays 2026'!$A$2:$A$27,'Holidays 2026'!$G$2:$G$27,"Regular",0,1)</f>
        <v>Regular</v>
      </c>
      <c r="F190" t="str">
        <f t="shared" si="9"/>
        <v>No</v>
      </c>
      <c r="G190" t="str" cm="1">
        <f t="array" ref="G190">_xlfn.IFS(OR(E190="Worked",E190="Approved Sick Leave",E190="Approved Vacation Leave",E190="Holiday"),8,E190="","",OR(E190="Absent",E190="Rest Day",E190="Sick Leave Without Pay",E190="Vacation Leave Without Pay"),0)</f>
        <v/>
      </c>
      <c r="H190">
        <v>0</v>
      </c>
      <c r="I190">
        <v>0</v>
      </c>
      <c r="J190">
        <v>0</v>
      </c>
      <c r="K190" s="40" t="str">
        <f t="shared" si="10"/>
        <v>7</v>
      </c>
      <c r="M190" cm="1">
        <f t="array" ref="M190">_xlfn.IFS(
OR(E190="Absent",
   E190="Sick Leave Without Pay",
   E190="Vacation Leave Without Pay",
   E190="Rest Day"), 0,
OR(E190="Approved Sick Leave",
   E190="Approved Vacation Leave"), 1,
D190="Regular Non-Working Holiday",
    IF(E190="Worked",
        IF(F190="Yes",2.6,2),
        1),
D190="Regular Working Holiday",
    IF(E190="Worked",
        IF(F190="Yes",2.6,2),
        1),
D190="Special Non-Working Holiday",
    IF(E190="Worked",
        IF(F190="Yes",1.5,1.3),
        0),
D190="Special Working Holiday",
    1,
D190="Regular",
    IF(F190="Yes",
        IF(E190="Worked",1.3,0),
        IF(E190="Worked",1,0)
    )
)</f>
        <v>0</v>
      </c>
      <c r="N190" cm="1">
        <f t="array" ref="N190">_xlfn.IFS(
F190="No",
    _xlfn.IFS(
        D190="Regular", 1.25,
        OR(D190="Special Working Holiday", D190="Special Non-Working Holiday"), 1.3*1.3,
        OR(D190="Regular Working Holiday", D190="Regular Non-Working Holiday"), 2*1.3
    ),
F190="Yes",
    _xlfn.IFS(
        D190="Regular", 1.3*1.3,
        OR(D190="Special Working Holiday", D190="Special Non-Working Holiday"), 1.5*1.3,
        OR(D190="Regular Working Holiday", D190="Regular Non-Working Holiday"), 2.6*1.3
    )
)</f>
        <v>1.25</v>
      </c>
      <c r="O190" s="9" t="str">
        <f t="shared" si="8"/>
        <v/>
      </c>
      <c r="P190" t="str" cm="1">
        <f t="array" ref="P190">_xlfn.IFS(
  OR(DAY(B190)=5, DAY(B190)=20), "Cut-off", OR(DAY(B190)=6, DAY(B190)=21), "Start",
  OR(
     DAY(B190)=15,
     DAY(B190)=30, AND(MONTH(B190)=2,DAY(B190)=DAY(EOMONTH(B190,0)))
  ), "Payday",
  TRUE, ""
)</f>
        <v/>
      </c>
    </row>
    <row r="191" spans="1:16" x14ac:dyDescent="0.25">
      <c r="A191" s="49"/>
      <c r="B191" s="38">
        <v>46259</v>
      </c>
      <c r="C191" s="38" t="s">
        <v>14</v>
      </c>
      <c r="D191" t="str">
        <f>_xlfn.XLOOKUP(B191,'Holidays 2026'!$A$2:$A$27,'Holidays 2026'!$G$2:$G$27,"Regular",0,1)</f>
        <v>Regular</v>
      </c>
      <c r="F191" t="str">
        <f t="shared" si="9"/>
        <v>No</v>
      </c>
      <c r="G191" t="str" cm="1">
        <f t="array" ref="G191">_xlfn.IFS(OR(E191="Worked",E191="Approved Sick Leave",E191="Approved Vacation Leave",E191="Holiday"),8,E191="","",OR(E191="Absent",E191="Rest Day",E191="Sick Leave Without Pay",E191="Vacation Leave Without Pay"),0)</f>
        <v/>
      </c>
      <c r="H191">
        <v>0</v>
      </c>
      <c r="I191">
        <v>0</v>
      </c>
      <c r="J191">
        <v>0</v>
      </c>
      <c r="K191" s="40" t="str">
        <f t="shared" si="10"/>
        <v>7</v>
      </c>
      <c r="M191" cm="1">
        <f t="array" ref="M191">_xlfn.IFS(
OR(E191="Absent",
   E191="Sick Leave Without Pay",
   E191="Vacation Leave Without Pay",
   E191="Rest Day"), 0,
OR(E191="Approved Sick Leave",
   E191="Approved Vacation Leave"), 1,
D191="Regular Non-Working Holiday",
    IF(E191="Worked",
        IF(F191="Yes",2.6,2),
        1),
D191="Regular Working Holiday",
    IF(E191="Worked",
        IF(F191="Yes",2.6,2),
        1),
D191="Special Non-Working Holiday",
    IF(E191="Worked",
        IF(F191="Yes",1.5,1.3),
        0),
D191="Special Working Holiday",
    1,
D191="Regular",
    IF(F191="Yes",
        IF(E191="Worked",1.3,0),
        IF(E191="Worked",1,0)
    )
)</f>
        <v>0</v>
      </c>
      <c r="N191" cm="1">
        <f t="array" ref="N191">_xlfn.IFS(
F191="No",
    _xlfn.IFS(
        D191="Regular", 1.25,
        OR(D191="Special Working Holiday", D191="Special Non-Working Holiday"), 1.3*1.3,
        OR(D191="Regular Working Holiday", D191="Regular Non-Working Holiday"), 2*1.3
    ),
F191="Yes",
    _xlfn.IFS(
        D191="Regular", 1.3*1.3,
        OR(D191="Special Working Holiday", D191="Special Non-Working Holiday"), 1.5*1.3,
        OR(D191="Regular Working Holiday", D191="Regular Non-Working Holiday"), 2.6*1.3
    )
)</f>
        <v>1.25</v>
      </c>
      <c r="O191" s="9" t="str">
        <f t="shared" si="8"/>
        <v/>
      </c>
      <c r="P191" t="str" cm="1">
        <f t="array" ref="P191">_xlfn.IFS(
  OR(DAY(B191)=5, DAY(B191)=20), "Cut-off", OR(DAY(B191)=6, DAY(B191)=21), "Start",
  OR(
     DAY(B191)=15,
     DAY(B191)=30, AND(MONTH(B191)=2,DAY(B191)=DAY(EOMONTH(B191,0)))
  ), "Payday",
  TRUE, ""
)</f>
        <v/>
      </c>
    </row>
    <row r="192" spans="1:16" x14ac:dyDescent="0.25">
      <c r="A192" s="49"/>
      <c r="B192" s="38">
        <v>46260</v>
      </c>
      <c r="C192" s="38" t="s">
        <v>14</v>
      </c>
      <c r="D192" t="str">
        <f>_xlfn.XLOOKUP(B192,'Holidays 2026'!$A$2:$A$27,'Holidays 2026'!$G$2:$G$27,"Regular",0,1)</f>
        <v>Regular</v>
      </c>
      <c r="F192" t="str">
        <f t="shared" si="9"/>
        <v>No</v>
      </c>
      <c r="G192" t="str" cm="1">
        <f t="array" ref="G192">_xlfn.IFS(OR(E192="Worked",E192="Approved Sick Leave",E192="Approved Vacation Leave",E192="Holiday"),8,E192="","",OR(E192="Absent",E192="Rest Day",E192="Sick Leave Without Pay",E192="Vacation Leave Without Pay"),0)</f>
        <v/>
      </c>
      <c r="H192">
        <v>0</v>
      </c>
      <c r="I192">
        <v>0</v>
      </c>
      <c r="J192">
        <v>0</v>
      </c>
      <c r="K192" s="40" t="str">
        <f t="shared" si="10"/>
        <v>7</v>
      </c>
      <c r="M192" cm="1">
        <f t="array" ref="M192">_xlfn.IFS(
OR(E192="Absent",
   E192="Sick Leave Without Pay",
   E192="Vacation Leave Without Pay",
   E192="Rest Day"), 0,
OR(E192="Approved Sick Leave",
   E192="Approved Vacation Leave"), 1,
D192="Regular Non-Working Holiday",
    IF(E192="Worked",
        IF(F192="Yes",2.6,2),
        1),
D192="Regular Working Holiday",
    IF(E192="Worked",
        IF(F192="Yes",2.6,2),
        1),
D192="Special Non-Working Holiday",
    IF(E192="Worked",
        IF(F192="Yes",1.5,1.3),
        0),
D192="Special Working Holiday",
    1,
D192="Regular",
    IF(F192="Yes",
        IF(E192="Worked",1.3,0),
        IF(E192="Worked",1,0)
    )
)</f>
        <v>0</v>
      </c>
      <c r="N192" cm="1">
        <f t="array" ref="N192">_xlfn.IFS(
F192="No",
    _xlfn.IFS(
        D192="Regular", 1.25,
        OR(D192="Special Working Holiday", D192="Special Non-Working Holiday"), 1.3*1.3,
        OR(D192="Regular Working Holiday", D192="Regular Non-Working Holiday"), 2*1.3
    ),
F192="Yes",
    _xlfn.IFS(
        D192="Regular", 1.3*1.3,
        OR(D192="Special Working Holiday", D192="Special Non-Working Holiday"), 1.5*1.3,
        OR(D192="Regular Working Holiday", D192="Regular Non-Working Holiday"), 2.6*1.3
    )
)</f>
        <v>1.25</v>
      </c>
      <c r="O192" s="9" t="str">
        <f t="shared" si="8"/>
        <v/>
      </c>
      <c r="P192" t="str" cm="1">
        <f t="array" ref="P192">_xlfn.IFS(
  OR(DAY(B192)=5, DAY(B192)=20), "Cut-off", OR(DAY(B192)=6, DAY(B192)=21), "Start",
  OR(
     DAY(B192)=15,
     DAY(B192)=30, AND(MONTH(B192)=2,DAY(B192)=DAY(EOMONTH(B192,0)))
  ), "Payday",
  TRUE, ""
)</f>
        <v/>
      </c>
    </row>
    <row r="193" spans="1:16" x14ac:dyDescent="0.25">
      <c r="A193" s="49"/>
      <c r="B193" s="38">
        <v>46261</v>
      </c>
      <c r="C193" s="38" t="s">
        <v>14</v>
      </c>
      <c r="D193" t="str">
        <f>_xlfn.XLOOKUP(B193,'Holidays 2026'!$A$2:$A$27,'Holidays 2026'!$G$2:$G$27,"Regular",0,1)</f>
        <v>Regular</v>
      </c>
      <c r="F193" t="str">
        <f t="shared" si="9"/>
        <v>No</v>
      </c>
      <c r="G193" t="str" cm="1">
        <f t="array" ref="G193">_xlfn.IFS(OR(E193="Worked",E193="Approved Sick Leave",E193="Approved Vacation Leave",E193="Holiday"),8,E193="","",OR(E193="Absent",E193="Rest Day",E193="Sick Leave Without Pay",E193="Vacation Leave Without Pay"),0)</f>
        <v/>
      </c>
      <c r="H193">
        <v>0</v>
      </c>
      <c r="I193">
        <v>0</v>
      </c>
      <c r="J193">
        <v>0</v>
      </c>
      <c r="K193" s="40" t="str">
        <f t="shared" si="10"/>
        <v>7</v>
      </c>
      <c r="M193" cm="1">
        <f t="array" ref="M193">_xlfn.IFS(
OR(E193="Absent",
   E193="Sick Leave Without Pay",
   E193="Vacation Leave Without Pay",
   E193="Rest Day"), 0,
OR(E193="Approved Sick Leave",
   E193="Approved Vacation Leave"), 1,
D193="Regular Non-Working Holiday",
    IF(E193="Worked",
        IF(F193="Yes",2.6,2),
        1),
D193="Regular Working Holiday",
    IF(E193="Worked",
        IF(F193="Yes",2.6,2),
        1),
D193="Special Non-Working Holiday",
    IF(E193="Worked",
        IF(F193="Yes",1.5,1.3),
        0),
D193="Special Working Holiday",
    1,
D193="Regular",
    IF(F193="Yes",
        IF(E193="Worked",1.3,0),
        IF(E193="Worked",1,0)
    )
)</f>
        <v>0</v>
      </c>
      <c r="N193" cm="1">
        <f t="array" ref="N193">_xlfn.IFS(
F193="No",
    _xlfn.IFS(
        D193="Regular", 1.25,
        OR(D193="Special Working Holiday", D193="Special Non-Working Holiday"), 1.3*1.3,
        OR(D193="Regular Working Holiday", D193="Regular Non-Working Holiday"), 2*1.3
    ),
F193="Yes",
    _xlfn.IFS(
        D193="Regular", 1.3*1.3,
        OR(D193="Special Working Holiday", D193="Special Non-Working Holiday"), 1.5*1.3,
        OR(D193="Regular Working Holiday", D193="Regular Non-Working Holiday"), 2.6*1.3
    )
)</f>
        <v>1.25</v>
      </c>
      <c r="O193" s="9" t="str">
        <f t="shared" si="8"/>
        <v/>
      </c>
      <c r="P193" t="str" cm="1">
        <f t="array" ref="P193">_xlfn.IFS(
  OR(DAY(B193)=5, DAY(B193)=20), "Cut-off", OR(DAY(B193)=6, DAY(B193)=21), "Start",
  OR(
     DAY(B193)=15,
     DAY(B193)=30, AND(MONTH(B193)=2,DAY(B193)=DAY(EOMONTH(B193,0)))
  ), "Payday",
  TRUE, ""
)</f>
        <v/>
      </c>
    </row>
    <row r="194" spans="1:16" x14ac:dyDescent="0.25">
      <c r="A194" s="49"/>
      <c r="B194" s="38">
        <v>46262</v>
      </c>
      <c r="C194" s="38" t="s">
        <v>14</v>
      </c>
      <c r="D194" t="str">
        <f>_xlfn.XLOOKUP(B194,'Holidays 2026'!$A$2:$A$27,'Holidays 2026'!$G$2:$G$27,"Regular",0,1)</f>
        <v>Regular</v>
      </c>
      <c r="F194" t="str">
        <f t="shared" si="9"/>
        <v>No</v>
      </c>
      <c r="G194" t="str" cm="1">
        <f t="array" ref="G194">_xlfn.IFS(OR(E194="Worked",E194="Approved Sick Leave",E194="Approved Vacation Leave",E194="Holiday"),8,E194="","",OR(E194="Absent",E194="Rest Day",E194="Sick Leave Without Pay",E194="Vacation Leave Without Pay"),0)</f>
        <v/>
      </c>
      <c r="H194">
        <v>0</v>
      </c>
      <c r="I194">
        <v>0</v>
      </c>
      <c r="J194">
        <v>0</v>
      </c>
      <c r="K194" s="40" t="str">
        <f t="shared" si="10"/>
        <v>7</v>
      </c>
      <c r="M194" cm="1">
        <f t="array" ref="M194">_xlfn.IFS(
OR(E194="Absent",
   E194="Sick Leave Without Pay",
   E194="Vacation Leave Without Pay",
   E194="Rest Day"), 0,
OR(E194="Approved Sick Leave",
   E194="Approved Vacation Leave"), 1,
D194="Regular Non-Working Holiday",
    IF(E194="Worked",
        IF(F194="Yes",2.6,2),
        1),
D194="Regular Working Holiday",
    IF(E194="Worked",
        IF(F194="Yes",2.6,2),
        1),
D194="Special Non-Working Holiday",
    IF(E194="Worked",
        IF(F194="Yes",1.5,1.3),
        0),
D194="Special Working Holiday",
    1,
D194="Regular",
    IF(F194="Yes",
        IF(E194="Worked",1.3,0),
        IF(E194="Worked",1,0)
    )
)</f>
        <v>0</v>
      </c>
      <c r="N194" cm="1">
        <f t="array" ref="N194">_xlfn.IFS(
F194="No",
    _xlfn.IFS(
        D194="Regular", 1.25,
        OR(D194="Special Working Holiday", D194="Special Non-Working Holiday"), 1.3*1.3,
        OR(D194="Regular Working Holiday", D194="Regular Non-Working Holiday"), 2*1.3
    ),
F194="Yes",
    _xlfn.IFS(
        D194="Regular", 1.3*1.3,
        OR(D194="Special Working Holiday", D194="Special Non-Working Holiday"), 1.5*1.3,
        OR(D194="Regular Working Holiday", D194="Regular Non-Working Holiday"), 2.6*1.3
    )
)</f>
        <v>1.25</v>
      </c>
      <c r="O194" s="9" t="str">
        <f t="shared" ref="O194:O197" si="11">IF(E194&lt;&gt;"",(G194*HPE*M194)+(N194*HPE*J194)+(K194*ND),"")</f>
        <v/>
      </c>
      <c r="P194" t="str" cm="1">
        <f t="array" ref="P194">_xlfn.IFS(
  OR(DAY(B194)=5, DAY(B194)=20), "Cut-off", OR(DAY(B194)=6, DAY(B194)=21), "Start",
  OR(
     DAY(B194)=15,
     DAY(B194)=30, AND(MONTH(B194)=2,DAY(B194)=DAY(EOMONTH(B194,0)))
  ), "Payday",
  TRUE, ""
)</f>
        <v/>
      </c>
    </row>
    <row r="195" spans="1:16" x14ac:dyDescent="0.25">
      <c r="A195" s="49"/>
      <c r="B195" s="38">
        <v>46263</v>
      </c>
      <c r="C195" s="38" t="s">
        <v>14</v>
      </c>
      <c r="D195" t="str">
        <f>_xlfn.XLOOKUP(B195,'Holidays 2026'!$A$2:$A$27,'Holidays 2026'!$G$2:$G$27,"Regular",0,1)</f>
        <v>Regular</v>
      </c>
      <c r="F195" t="str">
        <f t="shared" ref="F195:F197" si="12">IF(OR(TEXT(B195,"dddd")="Saturday",TEXT(B195,"dddd")="Sunday"),"Yes","No")</f>
        <v>Yes</v>
      </c>
      <c r="G195" t="str" cm="1">
        <f t="array" ref="G195">_xlfn.IFS(OR(E195="Worked",E195="Approved Sick Leave",E195="Approved Vacation Leave",E195="Holiday"),8,E195="","",OR(E195="Absent",E195="Rest Day",E195="Sick Leave Without Pay",E195="Vacation Leave Without Pay"),0)</f>
        <v/>
      </c>
      <c r="H195">
        <v>0</v>
      </c>
      <c r="I195">
        <v>0</v>
      </c>
      <c r="J195">
        <v>0</v>
      </c>
      <c r="K195" s="40" t="str">
        <f t="shared" ref="K195:K197" si="13">IF(E195="Rest Day",0,"7")</f>
        <v>7</v>
      </c>
      <c r="M195" cm="1">
        <f t="array" ref="M195">_xlfn.IFS(
OR(E195="Absent",
   E195="Sick Leave Without Pay",
   E195="Vacation Leave Without Pay",
   E195="Rest Day"), 0,
OR(E195="Approved Sick Leave",
   E195="Approved Vacation Leave"), 1,
D195="Regular Non-Working Holiday",
    IF(E195="Worked",
        IF(F195="Yes",2.6,2),
        1),
D195="Regular Working Holiday",
    IF(E195="Worked",
        IF(F195="Yes",2.6,2),
        1),
D195="Special Non-Working Holiday",
    IF(E195="Worked",
        IF(F195="Yes",1.5,1.3),
        0),
D195="Special Working Holiday",
    1,
D195="Regular",
    IF(F195="Yes",
        IF(E195="Worked",1.3,0),
        IF(E195="Worked",1,0)
    )
)</f>
        <v>0</v>
      </c>
      <c r="N195" cm="1">
        <f t="array" ref="N195">_xlfn.IFS(
F195="No",
    _xlfn.IFS(
        D195="Regular", 1.25,
        OR(D195="Special Working Holiday", D195="Special Non-Working Holiday"), 1.3*1.3,
        OR(D195="Regular Working Holiday", D195="Regular Non-Working Holiday"), 2*1.3
    ),
F195="Yes",
    _xlfn.IFS(
        D195="Regular", 1.3*1.3,
        OR(D195="Special Working Holiday", D195="Special Non-Working Holiday"), 1.5*1.3,
        OR(D195="Regular Working Holiday", D195="Regular Non-Working Holiday"), 2.6*1.3
    )
)</f>
        <v>1.6900000000000002</v>
      </c>
      <c r="O195" s="9" t="str">
        <f t="shared" si="11"/>
        <v/>
      </c>
      <c r="P195" t="str" cm="1">
        <f t="array" ref="P195">_xlfn.IFS(
  OR(DAY(B195)=5, DAY(B195)=20), "Cut-off", OR(DAY(B195)=6, DAY(B195)=21), "Start",
  OR(
     DAY(B195)=15,
     DAY(B195)=30, AND(MONTH(B195)=2,DAY(B195)=DAY(EOMONTH(B195,0)))
  ), "Payday",
  TRUE, ""
)</f>
        <v/>
      </c>
    </row>
    <row r="196" spans="1:16" x14ac:dyDescent="0.25">
      <c r="A196" s="49"/>
      <c r="B196" s="38">
        <v>46264</v>
      </c>
      <c r="C196" s="38" t="s">
        <v>14</v>
      </c>
      <c r="D196" t="str">
        <f>_xlfn.XLOOKUP(B196,'Holidays 2026'!$A$2:$A$27,'Holidays 2026'!$G$2:$G$27,"Regular",0,1)</f>
        <v>Regular</v>
      </c>
      <c r="F196" t="str">
        <f t="shared" si="12"/>
        <v>Yes</v>
      </c>
      <c r="G196" t="str" cm="1">
        <f t="array" ref="G196">_xlfn.IFS(OR(E196="Worked",E196="Approved Sick Leave",E196="Approved Vacation Leave",E196="Holiday"),8,E196="","",OR(E196="Absent",E196="Rest Day",E196="Sick Leave Without Pay",E196="Vacation Leave Without Pay"),0)</f>
        <v/>
      </c>
      <c r="H196">
        <v>0</v>
      </c>
      <c r="I196">
        <v>0</v>
      </c>
      <c r="J196">
        <v>0</v>
      </c>
      <c r="K196" s="40" t="str">
        <f t="shared" si="13"/>
        <v>7</v>
      </c>
      <c r="M196" cm="1">
        <f t="array" ref="M196">_xlfn.IFS(
OR(E196="Absent",
   E196="Sick Leave Without Pay",
   E196="Vacation Leave Without Pay",
   E196="Rest Day"), 0,
OR(E196="Approved Sick Leave",
   E196="Approved Vacation Leave"), 1,
D196="Regular Non-Working Holiday",
    IF(E196="Worked",
        IF(F196="Yes",2.6,2),
        1),
D196="Regular Working Holiday",
    IF(E196="Worked",
        IF(F196="Yes",2.6,2),
        1),
D196="Special Non-Working Holiday",
    IF(E196="Worked",
        IF(F196="Yes",1.5,1.3),
        0),
D196="Special Working Holiday",
    1,
D196="Regular",
    IF(F196="Yes",
        IF(E196="Worked",1.3,0),
        IF(E196="Worked",1,0)
    )
)</f>
        <v>0</v>
      </c>
      <c r="N196" cm="1">
        <f t="array" ref="N196">_xlfn.IFS(
F196="No",
    _xlfn.IFS(
        D196="Regular", 1.25,
        OR(D196="Special Working Holiday", D196="Special Non-Working Holiday"), 1.3*1.3,
        OR(D196="Regular Working Holiday", D196="Regular Non-Working Holiday"), 2*1.3
    ),
F196="Yes",
    _xlfn.IFS(
        D196="Regular", 1.3*1.3,
        OR(D196="Special Working Holiday", D196="Special Non-Working Holiday"), 1.5*1.3,
        OR(D196="Regular Working Holiday", D196="Regular Non-Working Holiday"), 2.6*1.3
    )
)</f>
        <v>1.6900000000000002</v>
      </c>
      <c r="O196" s="9" t="str">
        <f t="shared" si="11"/>
        <v/>
      </c>
      <c r="P196" t="str" cm="1">
        <f t="array" ref="P196">_xlfn.IFS(
  OR(DAY(B196)=5, DAY(B196)=20), "Cut-off", OR(DAY(B196)=6, DAY(B196)=21), "Start",
  OR(
     DAY(B196)=15,
     DAY(B196)=30, AND(MONTH(B196)=2,DAY(B196)=DAY(EOMONTH(B196,0)))
  ), "Payday",
  TRUE, ""
)</f>
        <v>Payday</v>
      </c>
    </row>
    <row r="197" spans="1:16" x14ac:dyDescent="0.25">
      <c r="A197" s="49"/>
      <c r="B197" s="38">
        <v>46265</v>
      </c>
      <c r="C197" s="38" t="s">
        <v>14</v>
      </c>
      <c r="D197" t="str">
        <f>_xlfn.XLOOKUP(B197,'Holidays 2026'!$A$2:$A$27,'Holidays 2026'!$G$2:$G$27,"Regular",0,1)</f>
        <v>Regular Non-Working Holiday</v>
      </c>
      <c r="F197" t="str">
        <f t="shared" si="12"/>
        <v>No</v>
      </c>
      <c r="G197" t="str" cm="1">
        <f t="array" ref="G197">_xlfn.IFS(OR(E197="Worked",E197="Approved Sick Leave",E197="Approved Vacation Leave",E197="Holiday"),8,E197="","",OR(E197="Absent",E197="Rest Day",E197="Sick Leave Without Pay",E197="Vacation Leave Without Pay"),0)</f>
        <v/>
      </c>
      <c r="H197">
        <v>0</v>
      </c>
      <c r="I197">
        <v>0</v>
      </c>
      <c r="J197">
        <v>0</v>
      </c>
      <c r="K197" s="40" t="str">
        <f t="shared" si="13"/>
        <v>7</v>
      </c>
      <c r="M197" cm="1">
        <f t="array" ref="M197">_xlfn.IFS(
OR(E197="Absent",
   E197="Sick Leave Without Pay",
   E197="Vacation Leave Without Pay",
   E197="Rest Day"), 0,
OR(E197="Approved Sick Leave",
   E197="Approved Vacation Leave"), 1,
D197="Regular Non-Working Holiday",
    IF(E197="Worked",
        IF(F197="Yes",2.6,2),
        1),
D197="Regular Working Holiday",
    IF(E197="Worked",
        IF(F197="Yes",2.6,2),
        1),
D197="Special Non-Working Holiday",
    IF(E197="Worked",
        IF(F197="Yes",1.5,1.3),
        0),
D197="Special Working Holiday",
    1,
D197="Regular",
    IF(F197="Yes",
        IF(E197="Worked",1.3,0),
        IF(E197="Worked",1,0)
    )
)</f>
        <v>1</v>
      </c>
      <c r="N197" cm="1">
        <f t="array" ref="N197">_xlfn.IFS(
F197="No",
    _xlfn.IFS(
        D197="Regular", 1.25,
        OR(D197="Special Working Holiday", D197="Special Non-Working Holiday"), 1.3*1.3,
        OR(D197="Regular Working Holiday", D197="Regular Non-Working Holiday"), 2*1.3
    ),
F197="Yes",
    _xlfn.IFS(
        D197="Regular", 1.3*1.3,
        OR(D197="Special Working Holiday", D197="Special Non-Working Holiday"), 1.5*1.3,
        OR(D197="Regular Working Holiday", D197="Regular Non-Working Holiday"), 2.6*1.3
    )
)</f>
        <v>2.6</v>
      </c>
      <c r="O197" s="9" t="str">
        <f t="shared" si="11"/>
        <v/>
      </c>
      <c r="P197" t="str" cm="1">
        <f t="array" ref="P197">_xlfn.IFS(
  OR(DAY(B197)=5, DAY(B197)=20), "Cut-off", OR(DAY(B197)=6, DAY(B197)=21), "Start",
  OR(
     DAY(B197)=15,
     DAY(B197)=30, AND(MONTH(B197)=2,DAY(B197)=DAY(EOMONTH(B197,0)))
  ), "Payday",
  TRUE, ""
)</f>
        <v/>
      </c>
    </row>
  </sheetData>
  <mergeCells count="7">
    <mergeCell ref="A136:A166"/>
    <mergeCell ref="A167:A197"/>
    <mergeCell ref="A2:A13"/>
    <mergeCell ref="A14:A44"/>
    <mergeCell ref="A45:A74"/>
    <mergeCell ref="A75:A105"/>
    <mergeCell ref="A106:A135"/>
  </mergeCells>
  <phoneticPr fontId="1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029164E-B033-4FF3-ADF7-45CA70F888B9}">
          <x14:formula1>
            <xm:f>Validation!$E$2:$E$10</xm:f>
          </x14:formula1>
          <xm:sqref>E1:E1048576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78A38-CCA7-4CCA-BB38-818D622109AD}">
  <dimension ref="B2:L3"/>
  <sheetViews>
    <sheetView workbookViewId="0">
      <selection activeCell="C2" sqref="C2"/>
    </sheetView>
  </sheetViews>
  <sheetFormatPr defaultRowHeight="15" x14ac:dyDescent="0.25"/>
  <cols>
    <col min="2" max="2" width="33.5703125" bestFit="1" customWidth="1"/>
    <col min="5" max="5" width="15.7109375" bestFit="1" customWidth="1"/>
    <col min="6" max="6" width="8.85546875" style="9"/>
    <col min="8" max="8" width="25.85546875" bestFit="1" customWidth="1"/>
    <col min="11" max="11" width="16.5703125" bestFit="1" customWidth="1"/>
  </cols>
  <sheetData>
    <row r="2" spans="2:12" x14ac:dyDescent="0.25">
      <c r="B2" t="s">
        <v>88</v>
      </c>
      <c r="C2">
        <v>16000</v>
      </c>
      <c r="E2" t="s">
        <v>80</v>
      </c>
      <c r="F2" s="9">
        <f>$C$2/21.75</f>
        <v>735.63218390804593</v>
      </c>
      <c r="H2" t="s">
        <v>83</v>
      </c>
      <c r="I2" s="10">
        <f>DBR/8</f>
        <v>91.954022988505741</v>
      </c>
      <c r="K2" t="s">
        <v>84</v>
      </c>
      <c r="L2" s="9">
        <f>C3*HPE</f>
        <v>9.1954022988505741</v>
      </c>
    </row>
    <row r="3" spans="2:12" x14ac:dyDescent="0.25">
      <c r="B3" t="s">
        <v>79</v>
      </c>
      <c r="C3" s="8">
        <v>0.1</v>
      </c>
      <c r="E3" s="9"/>
      <c r="F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BB05C-A46B-4BED-8257-DAC2FF2CAC5F}">
  <dimension ref="B1:F101"/>
  <sheetViews>
    <sheetView zoomScale="115" zoomScaleNormal="115" workbookViewId="0">
      <selection activeCell="F2" sqref="F2"/>
    </sheetView>
  </sheetViews>
  <sheetFormatPr defaultRowHeight="15" x14ac:dyDescent="0.25"/>
  <cols>
    <col min="4" max="4" width="27.5703125" bestFit="1" customWidth="1"/>
    <col min="5" max="5" width="23.7109375" bestFit="1" customWidth="1"/>
  </cols>
  <sheetData>
    <row r="1" spans="2:6" s="32" customFormat="1" x14ac:dyDescent="0.25">
      <c r="B1" s="32" t="s">
        <v>19</v>
      </c>
      <c r="C1" s="32" t="s">
        <v>6</v>
      </c>
      <c r="D1" s="32" t="s">
        <v>5</v>
      </c>
      <c r="E1" s="32" t="s">
        <v>89</v>
      </c>
    </row>
    <row r="2" spans="2:6" x14ac:dyDescent="0.25">
      <c r="B2" t="s">
        <v>7</v>
      </c>
      <c r="C2">
        <v>2000</v>
      </c>
      <c r="D2" t="s">
        <v>45</v>
      </c>
      <c r="E2" t="s">
        <v>71</v>
      </c>
      <c r="F2" t="s">
        <v>76</v>
      </c>
    </row>
    <row r="3" spans="2:6" x14ac:dyDescent="0.25">
      <c r="B3" t="s">
        <v>8</v>
      </c>
      <c r="C3">
        <v>2001</v>
      </c>
      <c r="D3" t="s">
        <v>63</v>
      </c>
      <c r="E3" t="s">
        <v>69</v>
      </c>
      <c r="F3" t="s">
        <v>77</v>
      </c>
    </row>
    <row r="4" spans="2:6" x14ac:dyDescent="0.25">
      <c r="B4" t="s">
        <v>9</v>
      </c>
      <c r="C4">
        <v>2002</v>
      </c>
      <c r="D4" t="s">
        <v>64</v>
      </c>
      <c r="E4" t="s">
        <v>82</v>
      </c>
    </row>
    <row r="5" spans="2:6" x14ac:dyDescent="0.25">
      <c r="B5" t="s">
        <v>10</v>
      </c>
      <c r="C5">
        <v>2003</v>
      </c>
      <c r="D5" t="s">
        <v>65</v>
      </c>
      <c r="E5" t="s">
        <v>72</v>
      </c>
    </row>
    <row r="6" spans="2:6" x14ac:dyDescent="0.25">
      <c r="B6" t="s">
        <v>11</v>
      </c>
      <c r="C6">
        <v>2004</v>
      </c>
      <c r="D6" t="s">
        <v>66</v>
      </c>
      <c r="E6" t="s">
        <v>73</v>
      </c>
    </row>
    <row r="7" spans="2:6" x14ac:dyDescent="0.25">
      <c r="B7" t="s">
        <v>12</v>
      </c>
      <c r="C7">
        <v>2005</v>
      </c>
      <c r="D7" t="s">
        <v>68</v>
      </c>
      <c r="E7" t="s">
        <v>75</v>
      </c>
    </row>
    <row r="8" spans="2:6" x14ac:dyDescent="0.25">
      <c r="B8" t="s">
        <v>13</v>
      </c>
      <c r="C8">
        <v>2006</v>
      </c>
      <c r="D8" t="s">
        <v>69</v>
      </c>
      <c r="E8" t="s">
        <v>74</v>
      </c>
    </row>
    <row r="9" spans="2:6" x14ac:dyDescent="0.25">
      <c r="B9" t="s">
        <v>14</v>
      </c>
      <c r="C9">
        <v>2007</v>
      </c>
      <c r="E9" t="s">
        <v>93</v>
      </c>
    </row>
    <row r="10" spans="2:6" x14ac:dyDescent="0.25">
      <c r="B10" t="s">
        <v>15</v>
      </c>
      <c r="C10">
        <v>2008</v>
      </c>
    </row>
    <row r="11" spans="2:6" x14ac:dyDescent="0.25">
      <c r="B11" t="s">
        <v>16</v>
      </c>
      <c r="C11">
        <v>2009</v>
      </c>
    </row>
    <row r="12" spans="2:6" x14ac:dyDescent="0.25">
      <c r="B12" t="s">
        <v>17</v>
      </c>
      <c r="C12">
        <v>2010</v>
      </c>
    </row>
    <row r="13" spans="2:6" x14ac:dyDescent="0.25">
      <c r="B13" t="s">
        <v>18</v>
      </c>
      <c r="C13">
        <v>2011</v>
      </c>
    </row>
    <row r="14" spans="2:6" x14ac:dyDescent="0.25">
      <c r="C14">
        <v>2012</v>
      </c>
    </row>
    <row r="15" spans="2:6" x14ac:dyDescent="0.25">
      <c r="C15">
        <v>2013</v>
      </c>
    </row>
    <row r="16" spans="2:6" x14ac:dyDescent="0.25">
      <c r="C16">
        <v>2014</v>
      </c>
    </row>
    <row r="17" spans="3:3" x14ac:dyDescent="0.25">
      <c r="C17">
        <v>2015</v>
      </c>
    </row>
    <row r="18" spans="3:3" x14ac:dyDescent="0.25">
      <c r="C18">
        <v>2016</v>
      </c>
    </row>
    <row r="19" spans="3:3" x14ac:dyDescent="0.25">
      <c r="C19">
        <v>2017</v>
      </c>
    </row>
    <row r="20" spans="3:3" x14ac:dyDescent="0.25">
      <c r="C20">
        <v>2018</v>
      </c>
    </row>
    <row r="21" spans="3:3" x14ac:dyDescent="0.25">
      <c r="C21">
        <v>2019</v>
      </c>
    </row>
    <row r="22" spans="3:3" x14ac:dyDescent="0.25">
      <c r="C22">
        <v>2020</v>
      </c>
    </row>
    <row r="23" spans="3:3" x14ac:dyDescent="0.25">
      <c r="C23">
        <v>2021</v>
      </c>
    </row>
    <row r="24" spans="3:3" x14ac:dyDescent="0.25">
      <c r="C24">
        <v>2022</v>
      </c>
    </row>
    <row r="25" spans="3:3" x14ac:dyDescent="0.25">
      <c r="C25">
        <v>2023</v>
      </c>
    </row>
    <row r="26" spans="3:3" x14ac:dyDescent="0.25">
      <c r="C26">
        <v>2024</v>
      </c>
    </row>
    <row r="27" spans="3:3" x14ac:dyDescent="0.25">
      <c r="C27">
        <v>2025</v>
      </c>
    </row>
    <row r="28" spans="3:3" x14ac:dyDescent="0.25">
      <c r="C28">
        <v>2026</v>
      </c>
    </row>
    <row r="29" spans="3:3" x14ac:dyDescent="0.25">
      <c r="C29">
        <v>2027</v>
      </c>
    </row>
    <row r="30" spans="3:3" x14ac:dyDescent="0.25">
      <c r="C30">
        <v>2028</v>
      </c>
    </row>
    <row r="31" spans="3:3" x14ac:dyDescent="0.25">
      <c r="C31">
        <v>2029</v>
      </c>
    </row>
    <row r="32" spans="3:3" x14ac:dyDescent="0.25">
      <c r="C32">
        <v>2030</v>
      </c>
    </row>
    <row r="33" spans="3:3" x14ac:dyDescent="0.25">
      <c r="C33">
        <v>2031</v>
      </c>
    </row>
    <row r="34" spans="3:3" x14ac:dyDescent="0.25">
      <c r="C34">
        <v>2032</v>
      </c>
    </row>
    <row r="35" spans="3:3" x14ac:dyDescent="0.25">
      <c r="C35">
        <v>2033</v>
      </c>
    </row>
    <row r="36" spans="3:3" x14ac:dyDescent="0.25">
      <c r="C36">
        <v>2034</v>
      </c>
    </row>
    <row r="37" spans="3:3" x14ac:dyDescent="0.25">
      <c r="C37">
        <v>2035</v>
      </c>
    </row>
    <row r="38" spans="3:3" x14ac:dyDescent="0.25">
      <c r="C38">
        <v>2036</v>
      </c>
    </row>
    <row r="39" spans="3:3" x14ac:dyDescent="0.25">
      <c r="C39">
        <v>2037</v>
      </c>
    </row>
    <row r="40" spans="3:3" x14ac:dyDescent="0.25">
      <c r="C40">
        <v>2038</v>
      </c>
    </row>
    <row r="41" spans="3:3" x14ac:dyDescent="0.25">
      <c r="C41">
        <v>2039</v>
      </c>
    </row>
    <row r="42" spans="3:3" x14ac:dyDescent="0.25">
      <c r="C42">
        <v>2040</v>
      </c>
    </row>
    <row r="43" spans="3:3" x14ac:dyDescent="0.25">
      <c r="C43">
        <v>2041</v>
      </c>
    </row>
    <row r="44" spans="3:3" x14ac:dyDescent="0.25">
      <c r="C44">
        <v>2042</v>
      </c>
    </row>
    <row r="45" spans="3:3" x14ac:dyDescent="0.25">
      <c r="C45">
        <v>2043</v>
      </c>
    </row>
    <row r="46" spans="3:3" x14ac:dyDescent="0.25">
      <c r="C46">
        <v>2044</v>
      </c>
    </row>
    <row r="47" spans="3:3" x14ac:dyDescent="0.25">
      <c r="C47">
        <v>2045</v>
      </c>
    </row>
    <row r="48" spans="3:3" x14ac:dyDescent="0.25">
      <c r="C48">
        <v>2046</v>
      </c>
    </row>
    <row r="49" spans="3:3" x14ac:dyDescent="0.25">
      <c r="C49">
        <v>2047</v>
      </c>
    </row>
    <row r="50" spans="3:3" x14ac:dyDescent="0.25">
      <c r="C50">
        <v>2048</v>
      </c>
    </row>
    <row r="51" spans="3:3" x14ac:dyDescent="0.25">
      <c r="C51">
        <v>2049</v>
      </c>
    </row>
    <row r="52" spans="3:3" x14ac:dyDescent="0.25">
      <c r="C52">
        <v>2050</v>
      </c>
    </row>
    <row r="53" spans="3:3" x14ac:dyDescent="0.25">
      <c r="C53">
        <v>2051</v>
      </c>
    </row>
    <row r="54" spans="3:3" x14ac:dyDescent="0.25">
      <c r="C54">
        <v>2052</v>
      </c>
    </row>
    <row r="55" spans="3:3" x14ac:dyDescent="0.25">
      <c r="C55">
        <v>2053</v>
      </c>
    </row>
    <row r="56" spans="3:3" x14ac:dyDescent="0.25">
      <c r="C56">
        <v>2054</v>
      </c>
    </row>
    <row r="57" spans="3:3" x14ac:dyDescent="0.25">
      <c r="C57">
        <v>2055</v>
      </c>
    </row>
    <row r="58" spans="3:3" x14ac:dyDescent="0.25">
      <c r="C58">
        <v>2056</v>
      </c>
    </row>
    <row r="59" spans="3:3" x14ac:dyDescent="0.25">
      <c r="C59">
        <v>2057</v>
      </c>
    </row>
    <row r="60" spans="3:3" x14ac:dyDescent="0.25">
      <c r="C60">
        <v>2058</v>
      </c>
    </row>
    <row r="61" spans="3:3" x14ac:dyDescent="0.25">
      <c r="C61">
        <v>2059</v>
      </c>
    </row>
    <row r="62" spans="3:3" x14ac:dyDescent="0.25">
      <c r="C62">
        <v>2060</v>
      </c>
    </row>
    <row r="63" spans="3:3" x14ac:dyDescent="0.25">
      <c r="C63">
        <v>2061</v>
      </c>
    </row>
    <row r="64" spans="3:3" x14ac:dyDescent="0.25">
      <c r="C64">
        <v>2062</v>
      </c>
    </row>
    <row r="65" spans="3:3" x14ac:dyDescent="0.25">
      <c r="C65">
        <v>2063</v>
      </c>
    </row>
    <row r="66" spans="3:3" x14ac:dyDescent="0.25">
      <c r="C66">
        <v>2064</v>
      </c>
    </row>
    <row r="67" spans="3:3" x14ac:dyDescent="0.25">
      <c r="C67">
        <v>2065</v>
      </c>
    </row>
    <row r="68" spans="3:3" x14ac:dyDescent="0.25">
      <c r="C68">
        <v>2066</v>
      </c>
    </row>
    <row r="69" spans="3:3" x14ac:dyDescent="0.25">
      <c r="C69">
        <v>2067</v>
      </c>
    </row>
    <row r="70" spans="3:3" x14ac:dyDescent="0.25">
      <c r="C70">
        <v>2068</v>
      </c>
    </row>
    <row r="71" spans="3:3" x14ac:dyDescent="0.25">
      <c r="C71">
        <v>2069</v>
      </c>
    </row>
    <row r="72" spans="3:3" x14ac:dyDescent="0.25">
      <c r="C72">
        <v>2070</v>
      </c>
    </row>
    <row r="73" spans="3:3" x14ac:dyDescent="0.25">
      <c r="C73">
        <v>2071</v>
      </c>
    </row>
    <row r="74" spans="3:3" x14ac:dyDescent="0.25">
      <c r="C74">
        <v>2072</v>
      </c>
    </row>
    <row r="75" spans="3:3" x14ac:dyDescent="0.25">
      <c r="C75">
        <v>2073</v>
      </c>
    </row>
    <row r="76" spans="3:3" x14ac:dyDescent="0.25">
      <c r="C76">
        <v>2074</v>
      </c>
    </row>
    <row r="77" spans="3:3" x14ac:dyDescent="0.25">
      <c r="C77">
        <v>2075</v>
      </c>
    </row>
    <row r="78" spans="3:3" x14ac:dyDescent="0.25">
      <c r="C78">
        <v>2076</v>
      </c>
    </row>
    <row r="79" spans="3:3" x14ac:dyDescent="0.25">
      <c r="C79">
        <v>2077</v>
      </c>
    </row>
    <row r="80" spans="3:3" x14ac:dyDescent="0.25">
      <c r="C80">
        <v>2078</v>
      </c>
    </row>
    <row r="81" spans="3:3" x14ac:dyDescent="0.25">
      <c r="C81">
        <v>2079</v>
      </c>
    </row>
    <row r="82" spans="3:3" x14ac:dyDescent="0.25">
      <c r="C82">
        <v>2080</v>
      </c>
    </row>
    <row r="83" spans="3:3" x14ac:dyDescent="0.25">
      <c r="C83">
        <v>2081</v>
      </c>
    </row>
    <row r="84" spans="3:3" x14ac:dyDescent="0.25">
      <c r="C84">
        <v>2082</v>
      </c>
    </row>
    <row r="85" spans="3:3" x14ac:dyDescent="0.25">
      <c r="C85">
        <v>2083</v>
      </c>
    </row>
    <row r="86" spans="3:3" x14ac:dyDescent="0.25">
      <c r="C86">
        <v>2084</v>
      </c>
    </row>
    <row r="87" spans="3:3" x14ac:dyDescent="0.25">
      <c r="C87">
        <v>2085</v>
      </c>
    </row>
    <row r="88" spans="3:3" x14ac:dyDescent="0.25">
      <c r="C88">
        <v>2086</v>
      </c>
    </row>
    <row r="89" spans="3:3" x14ac:dyDescent="0.25">
      <c r="C89">
        <v>2087</v>
      </c>
    </row>
    <row r="90" spans="3:3" x14ac:dyDescent="0.25">
      <c r="C90">
        <v>2088</v>
      </c>
    </row>
    <row r="91" spans="3:3" x14ac:dyDescent="0.25">
      <c r="C91">
        <v>2089</v>
      </c>
    </row>
    <row r="92" spans="3:3" x14ac:dyDescent="0.25">
      <c r="C92">
        <v>2090</v>
      </c>
    </row>
    <row r="93" spans="3:3" x14ac:dyDescent="0.25">
      <c r="C93">
        <v>2091</v>
      </c>
    </row>
    <row r="94" spans="3:3" x14ac:dyDescent="0.25">
      <c r="C94">
        <v>2092</v>
      </c>
    </row>
    <row r="95" spans="3:3" x14ac:dyDescent="0.25">
      <c r="C95">
        <v>2093</v>
      </c>
    </row>
    <row r="96" spans="3:3" x14ac:dyDescent="0.25">
      <c r="C96">
        <v>2094</v>
      </c>
    </row>
    <row r="97" spans="3:3" x14ac:dyDescent="0.25">
      <c r="C97">
        <v>2095</v>
      </c>
    </row>
    <row r="98" spans="3:3" x14ac:dyDescent="0.25">
      <c r="C98">
        <v>2096</v>
      </c>
    </row>
    <row r="99" spans="3:3" x14ac:dyDescent="0.25">
      <c r="C99">
        <v>2097</v>
      </c>
    </row>
    <row r="100" spans="3:3" x14ac:dyDescent="0.25">
      <c r="C100">
        <v>2098</v>
      </c>
    </row>
    <row r="101" spans="3:3" x14ac:dyDescent="0.25">
      <c r="C101">
        <v>2099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DA75D-D396-432D-AFBD-2D107DBAE3A1}">
  <dimension ref="B2:P19"/>
  <sheetViews>
    <sheetView workbookViewId="0">
      <selection activeCell="C8" sqref="C8"/>
    </sheetView>
  </sheetViews>
  <sheetFormatPr defaultRowHeight="15" x14ac:dyDescent="0.25"/>
  <cols>
    <col min="6" max="12" width="16.7109375" customWidth="1"/>
    <col min="16" max="16" width="24.7109375" bestFit="1" customWidth="1"/>
  </cols>
  <sheetData>
    <row r="2" spans="2:16" x14ac:dyDescent="0.25">
      <c r="B2" s="32" t="s">
        <v>6</v>
      </c>
      <c r="C2" s="32"/>
      <c r="D2" s="32" t="s">
        <v>19</v>
      </c>
      <c r="O2" s="5"/>
      <c r="P2" t="s">
        <v>63</v>
      </c>
    </row>
    <row r="3" spans="2:16" x14ac:dyDescent="0.25">
      <c r="B3">
        <v>2026</v>
      </c>
      <c r="D3" t="s">
        <v>10</v>
      </c>
      <c r="H3" s="51" t="s">
        <v>96</v>
      </c>
      <c r="I3" s="52"/>
      <c r="J3" s="53"/>
      <c r="O3" s="6"/>
      <c r="P3" t="s">
        <v>64</v>
      </c>
    </row>
    <row r="4" spans="2:16" x14ac:dyDescent="0.25">
      <c r="B4">
        <f>MATCH(D3,Validation!B2:B13,0)</f>
        <v>4</v>
      </c>
      <c r="H4" s="54"/>
      <c r="I4" s="55"/>
      <c r="J4" s="56"/>
      <c r="O4" s="4"/>
      <c r="P4" t="s">
        <v>65</v>
      </c>
    </row>
    <row r="5" spans="2:16" x14ac:dyDescent="0.25">
      <c r="O5" s="7"/>
      <c r="P5" t="s">
        <v>66</v>
      </c>
    </row>
    <row r="7" spans="2:16" ht="22.9" customHeight="1" x14ac:dyDescent="0.25">
      <c r="F7" s="42" t="s">
        <v>26</v>
      </c>
      <c r="G7" s="43" t="s">
        <v>20</v>
      </c>
      <c r="H7" s="44" t="s">
        <v>21</v>
      </c>
      <c r="I7" s="45" t="s">
        <v>22</v>
      </c>
      <c r="J7" s="46" t="s">
        <v>23</v>
      </c>
      <c r="K7" s="46" t="s">
        <v>24</v>
      </c>
      <c r="L7" s="46" t="s">
        <v>25</v>
      </c>
    </row>
    <row r="8" spans="2:16" x14ac:dyDescent="0.25">
      <c r="F8" s="16">
        <f>DATE($B$3,$B$4,1)-WEEKDAY(DATE($B$3,$B$4,1),1)+1</f>
        <v>46110</v>
      </c>
      <c r="G8" s="17">
        <f t="shared" ref="G8:L8" si="0">F8+1</f>
        <v>46111</v>
      </c>
      <c r="H8" s="22">
        <f t="shared" si="0"/>
        <v>46112</v>
      </c>
      <c r="I8" s="13">
        <f t="shared" si="0"/>
        <v>46113</v>
      </c>
      <c r="J8" s="11">
        <f t="shared" si="0"/>
        <v>46114</v>
      </c>
      <c r="K8" s="11">
        <f t="shared" si="0"/>
        <v>46115</v>
      </c>
      <c r="L8" s="11">
        <f t="shared" si="0"/>
        <v>46116</v>
      </c>
    </row>
    <row r="9" spans="2:16" ht="30" customHeight="1" x14ac:dyDescent="0.25">
      <c r="F9" s="18" t="str">
        <f>_xlfn.XLOOKUP(F8,'Holidays 2026'!$A$2:$A$27,'Holidays 2026'!$C$2:$C$27,"")</f>
        <v/>
      </c>
      <c r="G9" s="19" t="str">
        <f>_xlfn.XLOOKUP(G8,'Holidays 2026'!$A$2:$A$27,'Holidays 2026'!$C$2:$C$27,"")</f>
        <v/>
      </c>
      <c r="H9" s="23" t="str">
        <f>_xlfn.XLOOKUP(H8,'Holidays 2026'!$A$2:$A$27,'Holidays 2026'!$C$2:$C$27,"")</f>
        <v/>
      </c>
      <c r="I9" s="14" t="str">
        <f>_xlfn.XLOOKUP(I8,'Holidays 2026'!$A$2:$A$27,'Holidays 2026'!$C$2:$C$27,"")</f>
        <v/>
      </c>
      <c r="J9" s="12" t="str">
        <f>_xlfn.XLOOKUP(J8,'Holidays 2026'!$A$2:$A$27,'Holidays 2026'!$C$2:$C$27,"")</f>
        <v>Maundy Thursday</v>
      </c>
      <c r="K9" s="12" t="str">
        <f>_xlfn.XLOOKUP(K8,'Holidays 2026'!$A$2:$A$27,'Holidays 2026'!$C$2:$C$27,"")</f>
        <v>Good Friday</v>
      </c>
      <c r="L9" s="12" t="str">
        <f>_xlfn.XLOOKUP(L8,'Holidays 2026'!$A$2:$A$27,'Holidays 2026'!$C$2:$C$27,"")</f>
        <v>Black Saturday</v>
      </c>
    </row>
    <row r="10" spans="2:16" x14ac:dyDescent="0.25">
      <c r="F10" s="26">
        <f>L8+1</f>
        <v>46117</v>
      </c>
      <c r="G10" s="17">
        <f t="shared" ref="G10:L10" si="1">F10+1</f>
        <v>46118</v>
      </c>
      <c r="H10" s="22">
        <f t="shared" si="1"/>
        <v>46119</v>
      </c>
      <c r="I10" s="13">
        <f t="shared" si="1"/>
        <v>46120</v>
      </c>
      <c r="J10" s="11">
        <f t="shared" si="1"/>
        <v>46121</v>
      </c>
      <c r="K10" s="11">
        <f t="shared" si="1"/>
        <v>46122</v>
      </c>
      <c r="L10" s="11">
        <f t="shared" si="1"/>
        <v>46123</v>
      </c>
    </row>
    <row r="11" spans="2:16" ht="30" customHeight="1" x14ac:dyDescent="0.25">
      <c r="F11" s="28" t="str">
        <f>_xlfn.XLOOKUP(F10,'Holidays 2026'!$A$2:$A$27,'Holidays 2026'!$C$2:$C$27,"")</f>
        <v/>
      </c>
      <c r="G11" s="24" t="str">
        <f>_xlfn.XLOOKUP(G10,'Holidays 2026'!$A$2:$A$27,'Holidays 2026'!$C$2:$C$27,"")</f>
        <v/>
      </c>
      <c r="H11" s="23" t="str">
        <f>_xlfn.XLOOKUP(H10,'Holidays 2026'!$A$2:$A$27,'Holidays 2026'!$C$2:$C$27,"")</f>
        <v/>
      </c>
      <c r="I11" s="14" t="str">
        <f>_xlfn.XLOOKUP(I10,'Holidays 2026'!$A$2:$A$27,'Holidays 2026'!$C$2:$C$27,"")</f>
        <v/>
      </c>
      <c r="J11" s="12" t="str">
        <f>_xlfn.XLOOKUP(J10,'Holidays 2026'!$A$2:$A$27,'Holidays 2026'!$C$2:$C$27,"")</f>
        <v>Valor Day</v>
      </c>
      <c r="K11" s="12" t="str">
        <f>_xlfn.XLOOKUP(K10,'Holidays 2026'!$A$2:$A$27,'Holidays 2026'!$C$2:$C$27,"")</f>
        <v/>
      </c>
      <c r="L11" s="12" t="str">
        <f>_xlfn.XLOOKUP(L10,'Holidays 2026'!$A$2:$A$27,'Holidays 2026'!$C$2:$C$27,"")</f>
        <v/>
      </c>
    </row>
    <row r="12" spans="2:16" x14ac:dyDescent="0.25">
      <c r="F12" s="29">
        <f>L10+1</f>
        <v>46124</v>
      </c>
      <c r="G12" s="25">
        <f t="shared" ref="G12:L12" si="2">F12+1</f>
        <v>46125</v>
      </c>
      <c r="H12" s="17">
        <f t="shared" si="2"/>
        <v>46126</v>
      </c>
      <c r="I12" s="13">
        <f t="shared" si="2"/>
        <v>46127</v>
      </c>
      <c r="J12" s="11">
        <f t="shared" si="2"/>
        <v>46128</v>
      </c>
      <c r="K12" s="11">
        <f t="shared" si="2"/>
        <v>46129</v>
      </c>
      <c r="L12" s="11">
        <f t="shared" si="2"/>
        <v>46130</v>
      </c>
    </row>
    <row r="13" spans="2:16" ht="30" customHeight="1" x14ac:dyDescent="0.25">
      <c r="F13" s="31" t="str">
        <f>_xlfn.XLOOKUP(F12,'Holidays 2026'!$A$2:$A$27,'Holidays 2026'!$C$2:$C$27,"")</f>
        <v/>
      </c>
      <c r="G13" s="14" t="str">
        <f>_xlfn.XLOOKUP(G12,'Holidays 2026'!$A$2:$A$27,'Holidays 2026'!$C$2:$C$27,"")</f>
        <v/>
      </c>
      <c r="H13" s="19" t="str">
        <f>_xlfn.XLOOKUP(H12,'Holidays 2026'!$A$2:$A$27,'Holidays 2026'!$C$2:$C$27,"")</f>
        <v/>
      </c>
      <c r="I13" s="14" t="str">
        <f>_xlfn.XLOOKUP(I12,'Holidays 2026'!$A$2:$A$27,'Holidays 2026'!$C$2:$C$27,"")</f>
        <v/>
      </c>
      <c r="J13" s="12" t="str">
        <f>_xlfn.XLOOKUP(J12,'Holidays 2026'!$A$2:$A$27,'Holidays 2026'!$C$2:$C$27,"")</f>
        <v/>
      </c>
      <c r="K13" s="12" t="str">
        <f>_xlfn.XLOOKUP(K12,'Holidays 2026'!$A$2:$A$27,'Holidays 2026'!$C$2:$C$27,"")</f>
        <v/>
      </c>
      <c r="L13" s="12" t="str">
        <f>_xlfn.XLOOKUP(L12,'Holidays 2026'!$A$2:$A$27,'Holidays 2026'!$C$2:$C$27,"")</f>
        <v/>
      </c>
    </row>
    <row r="14" spans="2:16" x14ac:dyDescent="0.25">
      <c r="F14" s="30">
        <f>L12+1</f>
        <v>46131</v>
      </c>
      <c r="G14" s="13">
        <f t="shared" ref="G14:L14" si="3">F14+1</f>
        <v>46132</v>
      </c>
      <c r="H14" s="17">
        <f t="shared" si="3"/>
        <v>46133</v>
      </c>
      <c r="I14" s="13">
        <f t="shared" si="3"/>
        <v>46134</v>
      </c>
      <c r="J14" s="11">
        <f t="shared" si="3"/>
        <v>46135</v>
      </c>
      <c r="K14" s="11">
        <f t="shared" si="3"/>
        <v>46136</v>
      </c>
      <c r="L14" s="11">
        <f t="shared" si="3"/>
        <v>46137</v>
      </c>
    </row>
    <row r="15" spans="2:16" ht="30" customHeight="1" x14ac:dyDescent="0.25">
      <c r="F15" s="27" t="str">
        <f>_xlfn.XLOOKUP(F14,'Holidays 2026'!$A$2:$A$27,'Holidays 2026'!$C$2:$C$27,"")</f>
        <v/>
      </c>
      <c r="G15" s="20" t="str">
        <f>_xlfn.XLOOKUP(G14,'Holidays 2026'!$A$2:$A$27,'Holidays 2026'!$C$2:$C$27,"")</f>
        <v/>
      </c>
      <c r="H15" s="21" t="str">
        <f>_xlfn.XLOOKUP(H14,'Holidays 2026'!$A$2:$A$27,'Holidays 2026'!$C$2:$C$27,"")</f>
        <v/>
      </c>
      <c r="I15" s="14" t="str">
        <f>_xlfn.XLOOKUP(I14,'Holidays 2026'!$A$2:$A$27,'Holidays 2026'!$C$2:$C$27,"")</f>
        <v/>
      </c>
      <c r="J15" s="12" t="str">
        <f>_xlfn.XLOOKUP(J14,'Holidays 2026'!$A$2:$A$27,'Holidays 2026'!$C$2:$C$27,"")</f>
        <v/>
      </c>
      <c r="K15" s="12" t="str">
        <f>_xlfn.XLOOKUP(K14,'Holidays 2026'!$A$2:$A$27,'Holidays 2026'!$C$2:$C$27,"")</f>
        <v/>
      </c>
      <c r="L15" s="12" t="str">
        <f>_xlfn.XLOOKUP(L14,'Holidays 2026'!$A$2:$A$27,'Holidays 2026'!$C$2:$C$27,"")</f>
        <v/>
      </c>
    </row>
    <row r="16" spans="2:16" x14ac:dyDescent="0.25">
      <c r="F16" s="15">
        <f>L14+1</f>
        <v>46138</v>
      </c>
      <c r="G16" s="15">
        <f t="shared" ref="G16:L16" si="4">F16+1</f>
        <v>46139</v>
      </c>
      <c r="H16" s="15">
        <f t="shared" si="4"/>
        <v>46140</v>
      </c>
      <c r="I16" s="11">
        <f t="shared" si="4"/>
        <v>46141</v>
      </c>
      <c r="J16" s="11">
        <f t="shared" si="4"/>
        <v>46142</v>
      </c>
      <c r="K16" s="11">
        <f t="shared" si="4"/>
        <v>46143</v>
      </c>
      <c r="L16" s="11">
        <f t="shared" si="4"/>
        <v>46144</v>
      </c>
    </row>
    <row r="17" spans="6:12" ht="30" customHeight="1" x14ac:dyDescent="0.25">
      <c r="F17" s="12" t="str">
        <f>_xlfn.XLOOKUP(F16,'Holidays 2026'!$A$2:$A$27,'Holidays 2026'!$C$2:$C$27,"")</f>
        <v/>
      </c>
      <c r="G17" s="12" t="str">
        <f>_xlfn.XLOOKUP(G16,'Holidays 2026'!$A$2:$A$27,'Holidays 2026'!$C$2:$C$27,"")</f>
        <v/>
      </c>
      <c r="H17" s="12" t="str">
        <f>_xlfn.XLOOKUP(H16,'Holidays 2026'!$A$2:$A$27,'Holidays 2026'!$C$2:$C$27,"")</f>
        <v/>
      </c>
      <c r="I17" s="12" t="str">
        <f>_xlfn.XLOOKUP(I16,'Holidays 2026'!$A$2:$A$27,'Holidays 2026'!$C$2:$C$27,"")</f>
        <v/>
      </c>
      <c r="J17" s="12" t="str">
        <f>_xlfn.XLOOKUP(J16,'Holidays 2026'!$A$2:$A$27,'Holidays 2026'!$C$2:$C$27,"")</f>
        <v/>
      </c>
      <c r="K17" s="12" t="str">
        <f>_xlfn.XLOOKUP(K16,'Holidays 2026'!$A$2:$A$27,'Holidays 2026'!$C$2:$C$27,"")</f>
        <v>Labor Day</v>
      </c>
      <c r="L17" s="12" t="str">
        <f>_xlfn.XLOOKUP(L16,'Holidays 2026'!$A$2:$A$27,'Holidays 2026'!$C$2:$C$27,"")</f>
        <v/>
      </c>
    </row>
    <row r="18" spans="6:12" x14ac:dyDescent="0.25">
      <c r="F18" s="11">
        <f>L16+1</f>
        <v>46145</v>
      </c>
      <c r="G18" s="11">
        <f t="shared" ref="G18:L18" si="5">F18+1</f>
        <v>46146</v>
      </c>
      <c r="H18" s="11">
        <f t="shared" si="5"/>
        <v>46147</v>
      </c>
      <c r="I18" s="11">
        <f t="shared" si="5"/>
        <v>46148</v>
      </c>
      <c r="J18" s="11">
        <f t="shared" si="5"/>
        <v>46149</v>
      </c>
      <c r="K18" s="11">
        <f t="shared" si="5"/>
        <v>46150</v>
      </c>
      <c r="L18" s="11">
        <f t="shared" si="5"/>
        <v>46151</v>
      </c>
    </row>
    <row r="19" spans="6:12" ht="30" customHeight="1" x14ac:dyDescent="0.25">
      <c r="F19" s="12" t="str">
        <f>_xlfn.XLOOKUP(F18,'Holidays 2026'!$A$2:$A$27,'Holidays 2026'!$C$2:$C$27,"")</f>
        <v/>
      </c>
      <c r="G19" s="12" t="str">
        <f>_xlfn.XLOOKUP(G18,'Holidays 2026'!$A$2:$A$27,'Holidays 2026'!$C$2:$C$27,"")</f>
        <v/>
      </c>
      <c r="H19" s="12" t="str">
        <f>_xlfn.XLOOKUP(H18,'Holidays 2026'!$A$2:$A$27,'Holidays 2026'!$C$2:$C$27,"")</f>
        <v/>
      </c>
      <c r="I19" s="12" t="str">
        <f>_xlfn.XLOOKUP(I18,'Holidays 2026'!$A$2:$A$27,'Holidays 2026'!$C$2:$C$27,"")</f>
        <v/>
      </c>
      <c r="J19" s="12" t="str">
        <f>_xlfn.XLOOKUP(J18,'Holidays 2026'!$A$2:$A$27,'Holidays 2026'!$C$2:$C$27,"")</f>
        <v/>
      </c>
      <c r="K19" s="12" t="str">
        <f>_xlfn.XLOOKUP(K18,'Holidays 2026'!$A$2:$A$27,'Holidays 2026'!$C$2:$C$27,"")</f>
        <v/>
      </c>
      <c r="L19" s="12" t="str">
        <f>_xlfn.XLOOKUP(L18,'Holidays 2026'!$A$2:$A$27,'Holidays 2026'!$C$2:$C$27,"")</f>
        <v/>
      </c>
    </row>
  </sheetData>
  <mergeCells count="1">
    <mergeCell ref="H3:J4"/>
  </mergeCells>
  <phoneticPr fontId="1" type="noConversion"/>
  <conditionalFormatting sqref="F8:L8 F10:L10 F12:L12 F14:L14 F16:L16 F18:L18">
    <cfRule type="expression" dxfId="5" priority="7">
      <formula>F9&lt;&gt;""</formula>
    </cfRule>
  </conditionalFormatting>
  <pageMargins left="0.7" right="0.7" top="0.75" bottom="0.75" header="0.3" footer="0.3"/>
  <ignoredErrors>
    <ignoredError sqref="F10:L10 G9:L9 F18:L18 F16:L16 F14:L14 F12:L12 F11:L11 F13:L13 F15:L15 F17:L17 F19:L19" formula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7C759D69-DAD5-4DF5-8441-CAA34CB0BD99}">
            <xm:f>AND(    IFERROR(_xlfn.XLOOKUP(F9,'Holidays 2026'!$C$2:$C$27,'Holidays 2026'!$F$2:$F$27),"")="Working",     IFERROR(_xlfn.XLOOKUP(F9,'Holidays 2026'!$C$2:$C$27,'Holidays 2026'!$E$2:$E$27),"")="Special" )</xm:f>
            <x14:dxf>
              <fill>
                <patternFill>
                  <bgColor theme="8" tint="0.39994506668294322"/>
                </patternFill>
              </fill>
            </x14:dxf>
          </x14:cfRule>
          <x14:cfRule type="expression" priority="2" id="{B0FCD826-DB25-4566-9F75-30BB50FA90E6}">
            <xm:f>AND(    IFERROR(_xlfn.XLOOKUP(F9,'Holidays 2026'!$C$2:$C$27,'Holidays 2026'!$F$2:$F$27),"")="Non-Working",     IFERROR(_xlfn.XLOOKUP(F9,'Holidays 2026'!$C$2:$C$27,'Holidays 2026'!$E$2:$E$27),"")="Special" )</xm:f>
            <x14:dxf>
              <fill>
                <patternFill>
                  <bgColor rgb="FF00B0F0"/>
                </patternFill>
              </fill>
            </x14:dxf>
          </x14:cfRule>
          <x14:cfRule type="expression" priority="4" id="{18123503-B821-480E-910B-A35CFC40E152}">
            <xm:f>AND(    IFERROR(_xlfn.XLOOKUP(F9,'Holidays 2026'!$C$2:$C$27,'Holidays 2026'!$F$2:$F$27),"")="Working",     IFERROR(_xlfn.XLOOKUP(F9,'Holidays 2026'!$C$2:$C$27,'Holidays 2026'!$E$2:$E$27),"")="Regular" )</xm:f>
            <x14:dxf>
              <fill>
                <patternFill>
                  <bgColor rgb="FFFFC000"/>
                </patternFill>
              </fill>
            </x14:dxf>
          </x14:cfRule>
          <x14:cfRule type="expression" priority="5" id="{F401D3E5-0B9E-4438-8AE3-EBF1B1FA15FC}">
            <xm:f>AND(    IFERROR(_xlfn.XLOOKUP(F9,'Holidays 2026'!$C$2:$C$27,'Holidays 2026'!$F$2:$F$27),"")="Non-Working",    OR(       IFERROR(_xlfn.XLOOKUP(F9,'Holidays 2026'!$C$2:$C$27,'Holidays 2026'!$E$2:$E$27),"")="Regular",       IFERROR(_xlfn.XLOOKUP(F9,'Holidays 2026'!$C$2:$C$27,'Holidays 2026'!$E$2:$E$27),"")="NA"    ) )</xm:f>
            <x14:dxf>
              <fill>
                <patternFill>
                  <bgColor rgb="FF00B050"/>
                </patternFill>
              </fill>
            </x14:dxf>
          </x14:cfRule>
          <xm:sqref>F9:L9 F11:L11 F13:L13 F15:L15 F17:L17 F19:L19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D029164-1560-43D4-8763-44D86BBDD74A}">
          <x14:formula1>
            <xm:f>Validation!$C$2:$C$101</xm:f>
          </x14:formula1>
          <xm:sqref>B3</xm:sqref>
        </x14:dataValidation>
        <x14:dataValidation type="list" allowBlank="1" showInputMessage="1" showErrorMessage="1" xr:uid="{7A94658C-B028-4B86-931B-51EC59DD9821}">
          <x14:formula1>
            <xm:f>Validation!$B$2:$B$13</xm:f>
          </x14:formula1>
          <xm:sqref>D3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68444-B177-401E-A49E-E2F3E6F0C4C2}">
  <dimension ref="A1:B13"/>
  <sheetViews>
    <sheetView workbookViewId="0">
      <selection activeCell="B2" sqref="B2:B13"/>
    </sheetView>
  </sheetViews>
  <sheetFormatPr defaultRowHeight="15" x14ac:dyDescent="0.25"/>
  <cols>
    <col min="2" max="2" width="10.28515625" bestFit="1" customWidth="1"/>
  </cols>
  <sheetData>
    <row r="1" spans="1:2" x14ac:dyDescent="0.25">
      <c r="A1" t="s">
        <v>6</v>
      </c>
      <c r="B1" t="s">
        <v>19</v>
      </c>
    </row>
    <row r="2" spans="1:2" x14ac:dyDescent="0.25">
      <c r="A2">
        <v>2026</v>
      </c>
      <c r="B2" s="48" t="s">
        <v>7</v>
      </c>
    </row>
    <row r="3" spans="1:2" x14ac:dyDescent="0.25">
      <c r="A3">
        <v>2027</v>
      </c>
      <c r="B3" s="48" t="s">
        <v>8</v>
      </c>
    </row>
    <row r="4" spans="1:2" x14ac:dyDescent="0.25">
      <c r="A4">
        <v>2028</v>
      </c>
      <c r="B4" s="48" t="s">
        <v>9</v>
      </c>
    </row>
    <row r="5" spans="1:2" x14ac:dyDescent="0.25">
      <c r="A5">
        <v>2029</v>
      </c>
      <c r="B5" s="48" t="s">
        <v>10</v>
      </c>
    </row>
    <row r="6" spans="1:2" x14ac:dyDescent="0.25">
      <c r="A6">
        <v>2030</v>
      </c>
      <c r="B6" s="48" t="s">
        <v>11</v>
      </c>
    </row>
    <row r="7" spans="1:2" x14ac:dyDescent="0.25">
      <c r="A7">
        <v>2031</v>
      </c>
      <c r="B7" s="48" t="s">
        <v>12</v>
      </c>
    </row>
    <row r="8" spans="1:2" x14ac:dyDescent="0.25">
      <c r="A8">
        <v>2032</v>
      </c>
      <c r="B8" s="48" t="s">
        <v>13</v>
      </c>
    </row>
    <row r="9" spans="1:2" x14ac:dyDescent="0.25">
      <c r="A9">
        <v>2033</v>
      </c>
      <c r="B9" s="48" t="s">
        <v>14</v>
      </c>
    </row>
    <row r="10" spans="1:2" x14ac:dyDescent="0.25">
      <c r="A10">
        <v>2034</v>
      </c>
      <c r="B10" s="48" t="s">
        <v>15</v>
      </c>
    </row>
    <row r="11" spans="1:2" x14ac:dyDescent="0.25">
      <c r="A11">
        <v>2035</v>
      </c>
      <c r="B11" s="48" t="s">
        <v>16</v>
      </c>
    </row>
    <row r="12" spans="1:2" x14ac:dyDescent="0.25">
      <c r="A12">
        <v>2036</v>
      </c>
      <c r="B12" s="48" t="s">
        <v>17</v>
      </c>
    </row>
    <row r="13" spans="1:2" x14ac:dyDescent="0.25">
      <c r="A13">
        <v>2037</v>
      </c>
      <c r="B13" s="48" t="s">
        <v>18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B4597-2BA7-4A7F-A4C1-2815131BE0A9}">
  <dimension ref="A1:G27"/>
  <sheetViews>
    <sheetView workbookViewId="0">
      <selection activeCell="C18" sqref="C18"/>
    </sheetView>
  </sheetViews>
  <sheetFormatPr defaultRowHeight="15" x14ac:dyDescent="0.25"/>
  <cols>
    <col min="1" max="1" width="12.7109375" style="3" bestFit="1" customWidth="1"/>
    <col min="2" max="2" width="11.140625" bestFit="1" customWidth="1"/>
    <col min="3" max="3" width="40.28515625" bestFit="1" customWidth="1"/>
    <col min="4" max="4" width="17.42578125" bestFit="1" customWidth="1"/>
    <col min="6" max="6" width="23.42578125" bestFit="1" customWidth="1"/>
    <col min="7" max="7" width="28.7109375" bestFit="1" customWidth="1"/>
  </cols>
  <sheetData>
    <row r="1" spans="1:7" s="32" customFormat="1" x14ac:dyDescent="0.25">
      <c r="A1" s="35" t="s">
        <v>0</v>
      </c>
      <c r="B1" s="32" t="s">
        <v>27</v>
      </c>
      <c r="C1" s="32" t="s">
        <v>28</v>
      </c>
      <c r="D1" s="32" t="s">
        <v>29</v>
      </c>
      <c r="E1" s="32" t="s">
        <v>30</v>
      </c>
      <c r="F1" s="32" t="s">
        <v>48</v>
      </c>
      <c r="G1" s="32" t="s">
        <v>5</v>
      </c>
    </row>
    <row r="2" spans="1:7" x14ac:dyDescent="0.25">
      <c r="A2" s="2">
        <v>46023</v>
      </c>
      <c r="B2" t="str">
        <f t="shared" ref="B2:B27" si="0">TEXT(A2,"dddd")</f>
        <v>Thursday</v>
      </c>
      <c r="C2" t="s">
        <v>31</v>
      </c>
      <c r="D2" t="s">
        <v>43</v>
      </c>
      <c r="E2" t="s">
        <v>45</v>
      </c>
      <c r="F2" t="s">
        <v>49</v>
      </c>
      <c r="G2" t="str">
        <f>IF(E2="NA","Regular "&amp;F2&amp;" Holiday",E2&amp;" "&amp;F2&amp;" Holiday")</f>
        <v>Regular Non-Working Holiday</v>
      </c>
    </row>
    <row r="3" spans="1:7" x14ac:dyDescent="0.25">
      <c r="A3" s="2">
        <v>46069</v>
      </c>
      <c r="B3" t="str">
        <f t="shared" si="0"/>
        <v>Monday</v>
      </c>
      <c r="C3" t="s">
        <v>32</v>
      </c>
      <c r="D3" t="s">
        <v>44</v>
      </c>
      <c r="E3" t="s">
        <v>46</v>
      </c>
      <c r="F3" t="s">
        <v>49</v>
      </c>
      <c r="G3" t="str">
        <f t="shared" ref="G3:G27" si="1">IF(E3="NA","Regular "&amp;F3&amp;" Holiday",E3&amp;" "&amp;F3&amp;" Holiday")</f>
        <v>Regular Non-Working Holiday</v>
      </c>
    </row>
    <row r="4" spans="1:7" x14ac:dyDescent="0.25">
      <c r="A4" s="2">
        <v>46114</v>
      </c>
      <c r="B4" t="str">
        <f t="shared" si="0"/>
        <v>Thursday</v>
      </c>
      <c r="C4" t="s">
        <v>33</v>
      </c>
      <c r="D4" t="s">
        <v>43</v>
      </c>
      <c r="E4" t="s">
        <v>45</v>
      </c>
      <c r="F4" t="s">
        <v>49</v>
      </c>
      <c r="G4" t="str">
        <f t="shared" si="1"/>
        <v>Regular Non-Working Holiday</v>
      </c>
    </row>
    <row r="5" spans="1:7" x14ac:dyDescent="0.25">
      <c r="A5" s="2">
        <v>46115</v>
      </c>
      <c r="B5" t="str">
        <f t="shared" si="0"/>
        <v>Friday</v>
      </c>
      <c r="C5" t="s">
        <v>34</v>
      </c>
      <c r="D5" t="s">
        <v>43</v>
      </c>
      <c r="E5" t="s">
        <v>45</v>
      </c>
      <c r="F5" t="s">
        <v>49</v>
      </c>
      <c r="G5" t="str">
        <f t="shared" si="1"/>
        <v>Regular Non-Working Holiday</v>
      </c>
    </row>
    <row r="6" spans="1:7" x14ac:dyDescent="0.25">
      <c r="A6" s="2">
        <v>46167</v>
      </c>
      <c r="B6" t="str">
        <f t="shared" si="0"/>
        <v>Monday</v>
      </c>
      <c r="C6" t="s">
        <v>35</v>
      </c>
      <c r="D6" t="s">
        <v>44</v>
      </c>
      <c r="E6" t="s">
        <v>46</v>
      </c>
      <c r="F6" t="s">
        <v>49</v>
      </c>
      <c r="G6" t="str">
        <f t="shared" si="1"/>
        <v>Regular Non-Working Holiday</v>
      </c>
    </row>
    <row r="7" spans="1:7" x14ac:dyDescent="0.25">
      <c r="A7" s="2">
        <v>46192</v>
      </c>
      <c r="B7" t="str">
        <f t="shared" si="0"/>
        <v>Friday</v>
      </c>
      <c r="C7" t="s">
        <v>36</v>
      </c>
      <c r="D7" t="s">
        <v>44</v>
      </c>
      <c r="E7" t="s">
        <v>46</v>
      </c>
      <c r="F7" t="s">
        <v>49</v>
      </c>
      <c r="G7" t="str">
        <f t="shared" si="1"/>
        <v>Regular Non-Working Holiday</v>
      </c>
    </row>
    <row r="8" spans="1:7" x14ac:dyDescent="0.25">
      <c r="A8" s="2">
        <v>46206</v>
      </c>
      <c r="B8" t="str">
        <f t="shared" si="0"/>
        <v>Friday</v>
      </c>
      <c r="C8" t="s">
        <v>37</v>
      </c>
      <c r="D8" t="s">
        <v>44</v>
      </c>
      <c r="E8" t="s">
        <v>46</v>
      </c>
      <c r="F8" t="s">
        <v>49</v>
      </c>
      <c r="G8" t="str">
        <f t="shared" si="1"/>
        <v>Regular Non-Working Holiday</v>
      </c>
    </row>
    <row r="9" spans="1:7" x14ac:dyDescent="0.25">
      <c r="A9" s="2">
        <v>46265</v>
      </c>
      <c r="B9" t="str">
        <f t="shared" si="0"/>
        <v>Monday</v>
      </c>
      <c r="C9" t="s">
        <v>38</v>
      </c>
      <c r="D9" t="s">
        <v>43</v>
      </c>
      <c r="E9" t="s">
        <v>45</v>
      </c>
      <c r="F9" t="s">
        <v>49</v>
      </c>
      <c r="G9" t="str">
        <f t="shared" si="1"/>
        <v>Regular Non-Working Holiday</v>
      </c>
    </row>
    <row r="10" spans="1:7" x14ac:dyDescent="0.25">
      <c r="A10" s="2">
        <v>46272</v>
      </c>
      <c r="B10" t="str">
        <f t="shared" si="0"/>
        <v>Monday</v>
      </c>
      <c r="C10" t="s">
        <v>39</v>
      </c>
      <c r="D10" t="s">
        <v>44</v>
      </c>
      <c r="E10" t="s">
        <v>46</v>
      </c>
      <c r="F10" t="s">
        <v>49</v>
      </c>
      <c r="G10" t="str">
        <f t="shared" si="1"/>
        <v>Regular Non-Working Holiday</v>
      </c>
    </row>
    <row r="11" spans="1:7" x14ac:dyDescent="0.25">
      <c r="A11" s="2">
        <v>46328</v>
      </c>
      <c r="B11" t="str">
        <f t="shared" si="0"/>
        <v>Monday</v>
      </c>
      <c r="C11" t="s">
        <v>40</v>
      </c>
      <c r="D11" t="s">
        <v>43</v>
      </c>
      <c r="E11" t="s">
        <v>47</v>
      </c>
      <c r="F11" t="s">
        <v>49</v>
      </c>
      <c r="G11" t="str">
        <f t="shared" si="1"/>
        <v>Special Non-Working Holiday</v>
      </c>
    </row>
    <row r="12" spans="1:7" x14ac:dyDescent="0.25">
      <c r="A12" s="2">
        <v>46381</v>
      </c>
      <c r="B12" t="str">
        <f t="shared" si="0"/>
        <v>Friday</v>
      </c>
      <c r="C12" t="s">
        <v>41</v>
      </c>
      <c r="D12" t="s">
        <v>43</v>
      </c>
      <c r="E12" t="s">
        <v>45</v>
      </c>
      <c r="F12" t="s">
        <v>49</v>
      </c>
      <c r="G12" t="str">
        <f t="shared" si="1"/>
        <v>Regular Non-Working Holiday</v>
      </c>
    </row>
    <row r="13" spans="1:7" x14ac:dyDescent="0.25">
      <c r="A13" s="2">
        <v>46387</v>
      </c>
      <c r="B13" t="str">
        <f t="shared" si="0"/>
        <v>Thursday</v>
      </c>
      <c r="C13" t="s">
        <v>42</v>
      </c>
      <c r="D13" t="s">
        <v>43</v>
      </c>
      <c r="E13" t="s">
        <v>47</v>
      </c>
      <c r="F13" t="s">
        <v>49</v>
      </c>
      <c r="G13" t="str">
        <f t="shared" si="1"/>
        <v>Special Non-Working Holiday</v>
      </c>
    </row>
    <row r="14" spans="1:7" x14ac:dyDescent="0.25">
      <c r="A14" s="3">
        <v>46070</v>
      </c>
      <c r="B14" t="str">
        <f t="shared" si="0"/>
        <v>Tuesday</v>
      </c>
      <c r="C14" t="s">
        <v>50</v>
      </c>
      <c r="D14" t="s">
        <v>43</v>
      </c>
      <c r="E14" t="s">
        <v>47</v>
      </c>
      <c r="F14" t="s">
        <v>62</v>
      </c>
      <c r="G14" t="str">
        <f t="shared" si="1"/>
        <v>Special Working Holiday</v>
      </c>
    </row>
    <row r="15" spans="1:7" x14ac:dyDescent="0.25">
      <c r="A15" s="3">
        <v>46101</v>
      </c>
      <c r="B15" t="str">
        <f t="shared" si="0"/>
        <v>Friday</v>
      </c>
      <c r="C15" t="s">
        <v>51</v>
      </c>
      <c r="D15" t="s">
        <v>43</v>
      </c>
      <c r="E15" t="s">
        <v>45</v>
      </c>
      <c r="F15" t="s">
        <v>62</v>
      </c>
      <c r="G15" t="str">
        <f t="shared" si="1"/>
        <v>Regular Working Holiday</v>
      </c>
    </row>
    <row r="16" spans="1:7" x14ac:dyDescent="0.25">
      <c r="A16" s="3">
        <v>46116</v>
      </c>
      <c r="B16" t="str">
        <f t="shared" si="0"/>
        <v>Saturday</v>
      </c>
      <c r="C16" t="s">
        <v>52</v>
      </c>
      <c r="D16" t="s">
        <v>43</v>
      </c>
      <c r="E16" t="s">
        <v>47</v>
      </c>
      <c r="F16" t="s">
        <v>62</v>
      </c>
      <c r="G16" t="str">
        <f t="shared" si="1"/>
        <v>Special Working Holiday</v>
      </c>
    </row>
    <row r="17" spans="1:7" x14ac:dyDescent="0.25">
      <c r="A17" s="3">
        <v>46121</v>
      </c>
      <c r="B17" t="str">
        <f t="shared" si="0"/>
        <v>Thursday</v>
      </c>
      <c r="C17" t="s">
        <v>53</v>
      </c>
      <c r="D17" t="s">
        <v>43</v>
      </c>
      <c r="E17" t="s">
        <v>45</v>
      </c>
      <c r="F17" t="s">
        <v>62</v>
      </c>
      <c r="G17" t="str">
        <f t="shared" si="1"/>
        <v>Regular Working Holiday</v>
      </c>
    </row>
    <row r="18" spans="1:7" x14ac:dyDescent="0.25">
      <c r="A18" s="3">
        <v>46143</v>
      </c>
      <c r="B18" t="str">
        <f t="shared" si="0"/>
        <v>Friday</v>
      </c>
      <c r="C18" t="s">
        <v>39</v>
      </c>
      <c r="D18" t="s">
        <v>43</v>
      </c>
      <c r="E18" t="s">
        <v>45</v>
      </c>
      <c r="F18" t="s">
        <v>62</v>
      </c>
      <c r="G18" t="str">
        <f t="shared" si="1"/>
        <v>Regular Working Holiday</v>
      </c>
    </row>
    <row r="19" spans="1:7" x14ac:dyDescent="0.25">
      <c r="A19" s="3">
        <v>46169</v>
      </c>
      <c r="B19" t="str">
        <f t="shared" si="0"/>
        <v>Wednesday</v>
      </c>
      <c r="C19" t="s">
        <v>54</v>
      </c>
      <c r="D19" t="s">
        <v>43</v>
      </c>
      <c r="E19" t="s">
        <v>45</v>
      </c>
      <c r="F19" t="s">
        <v>62</v>
      </c>
      <c r="G19" t="str">
        <f t="shared" si="1"/>
        <v>Regular Working Holiday</v>
      </c>
    </row>
    <row r="20" spans="1:7" x14ac:dyDescent="0.25">
      <c r="A20" s="3">
        <v>46185</v>
      </c>
      <c r="B20" t="str">
        <f t="shared" si="0"/>
        <v>Friday</v>
      </c>
      <c r="C20" t="s">
        <v>37</v>
      </c>
      <c r="D20" t="s">
        <v>43</v>
      </c>
      <c r="E20" t="s">
        <v>45</v>
      </c>
      <c r="F20" t="s">
        <v>62</v>
      </c>
      <c r="G20" t="str">
        <f t="shared" si="1"/>
        <v>Regular Working Holiday</v>
      </c>
    </row>
    <row r="21" spans="1:7" x14ac:dyDescent="0.25">
      <c r="A21" s="3">
        <v>46253</v>
      </c>
      <c r="B21" t="str">
        <f t="shared" si="0"/>
        <v>Wednesday</v>
      </c>
      <c r="C21" t="s">
        <v>55</v>
      </c>
      <c r="D21" t="s">
        <v>43</v>
      </c>
      <c r="E21" t="s">
        <v>47</v>
      </c>
      <c r="F21" t="s">
        <v>62</v>
      </c>
      <c r="G21" t="str">
        <f t="shared" si="1"/>
        <v>Special Working Holiday</v>
      </c>
    </row>
    <row r="22" spans="1:7" x14ac:dyDescent="0.25">
      <c r="A22" s="3">
        <v>46255</v>
      </c>
      <c r="B22" t="str">
        <f t="shared" si="0"/>
        <v>Friday</v>
      </c>
      <c r="C22" t="s">
        <v>56</v>
      </c>
      <c r="D22" t="s">
        <v>43</v>
      </c>
      <c r="E22" t="s">
        <v>47</v>
      </c>
      <c r="F22" t="s">
        <v>62</v>
      </c>
      <c r="G22" t="str">
        <f t="shared" si="1"/>
        <v>Special Working Holiday</v>
      </c>
    </row>
    <row r="23" spans="1:7" x14ac:dyDescent="0.25">
      <c r="A23" s="3">
        <v>46327</v>
      </c>
      <c r="B23" t="str">
        <f t="shared" si="0"/>
        <v>Sunday</v>
      </c>
      <c r="C23" t="s">
        <v>57</v>
      </c>
      <c r="D23" t="s">
        <v>43</v>
      </c>
      <c r="E23" t="s">
        <v>47</v>
      </c>
      <c r="F23" t="s">
        <v>62</v>
      </c>
      <c r="G23" t="str">
        <f t="shared" si="1"/>
        <v>Special Working Holiday</v>
      </c>
    </row>
    <row r="24" spans="1:7" x14ac:dyDescent="0.25">
      <c r="A24" s="3">
        <v>46356</v>
      </c>
      <c r="B24" t="str">
        <f t="shared" si="0"/>
        <v>Monday</v>
      </c>
      <c r="C24" t="s">
        <v>58</v>
      </c>
      <c r="D24" t="s">
        <v>43</v>
      </c>
      <c r="E24" t="s">
        <v>45</v>
      </c>
      <c r="F24" t="s">
        <v>62</v>
      </c>
      <c r="G24" t="str">
        <f t="shared" si="1"/>
        <v>Regular Working Holiday</v>
      </c>
    </row>
    <row r="25" spans="1:7" x14ac:dyDescent="0.25">
      <c r="A25" s="3">
        <v>46364</v>
      </c>
      <c r="B25" t="str">
        <f t="shared" si="0"/>
        <v>Tuesday</v>
      </c>
      <c r="C25" t="s">
        <v>59</v>
      </c>
      <c r="D25" t="s">
        <v>43</v>
      </c>
      <c r="E25" t="s">
        <v>47</v>
      </c>
      <c r="F25" t="s">
        <v>62</v>
      </c>
      <c r="G25" t="str">
        <f t="shared" si="1"/>
        <v>Special Working Holiday</v>
      </c>
    </row>
    <row r="26" spans="1:7" x14ac:dyDescent="0.25">
      <c r="A26" s="3">
        <v>46380</v>
      </c>
      <c r="B26" t="str">
        <f t="shared" si="0"/>
        <v>Thursday</v>
      </c>
      <c r="C26" t="s">
        <v>60</v>
      </c>
      <c r="D26" t="s">
        <v>43</v>
      </c>
      <c r="E26" t="s">
        <v>47</v>
      </c>
      <c r="F26" t="s">
        <v>62</v>
      </c>
      <c r="G26" t="str">
        <f t="shared" si="1"/>
        <v>Special Working Holiday</v>
      </c>
    </row>
    <row r="27" spans="1:7" x14ac:dyDescent="0.25">
      <c r="A27" s="3">
        <v>46386</v>
      </c>
      <c r="B27" t="str">
        <f t="shared" si="0"/>
        <v>Wednesday</v>
      </c>
      <c r="C27" t="s">
        <v>61</v>
      </c>
      <c r="D27" t="s">
        <v>43</v>
      </c>
      <c r="E27" t="s">
        <v>45</v>
      </c>
      <c r="F27" t="s">
        <v>62</v>
      </c>
      <c r="G27" t="str">
        <f t="shared" si="1"/>
        <v>Regular Working Holiday</v>
      </c>
    </row>
  </sheetData>
  <sortState xmlns:xlrd2="http://schemas.microsoft.com/office/spreadsheetml/2017/richdata2" ref="A2:F27">
    <sortCondition ref="F2:F27"/>
  </sortState>
  <conditionalFormatting sqref="I22">
    <cfRule type="containsText" dxfId="0" priority="1" operator="containsText" text="US Holiday">
      <formula>NOT(ISERROR(SEARCH("US Holiday",I22)))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Daily Time Record</vt:lpstr>
      <vt:lpstr>Calculator</vt:lpstr>
      <vt:lpstr>Validation</vt:lpstr>
      <vt:lpstr>Calendar</vt:lpstr>
      <vt:lpstr>Calendaryo</vt:lpstr>
      <vt:lpstr>Holidays 2026</vt:lpstr>
      <vt:lpstr>DBR</vt:lpstr>
      <vt:lpstr>HPE</vt:lpstr>
      <vt:lpstr>MBR</vt:lpstr>
      <vt:lpstr>ND</vt:lpstr>
      <vt:lpstr>Salary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Hexter Riego</dc:creator>
  <cp:lastModifiedBy>Hexter Riego</cp:lastModifiedBy>
  <dcterms:created xsi:type="dcterms:W3CDTF">2026-02-22T03:40:29Z</dcterms:created>
  <dcterms:modified xsi:type="dcterms:W3CDTF">2026-07-30T06:21:59Z</dcterms:modified>
</cp:coreProperties>
</file>